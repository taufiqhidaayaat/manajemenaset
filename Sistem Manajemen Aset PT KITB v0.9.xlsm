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D:\undip\magang\kitb\Sistem Manajemen Aset PT KITB\"/>
    </mc:Choice>
  </mc:AlternateContent>
  <xr:revisionPtr revIDLastSave="0" documentId="13_ncr:1_{F7CB083C-0306-4325-98BC-075632652BD3}" xr6:coauthVersionLast="36" xr6:coauthVersionMax="36" xr10:uidLastSave="{00000000-0000-0000-0000-000000000000}"/>
  <bookViews>
    <workbookView xWindow="0" yWindow="0" windowWidth="20490" windowHeight="7530" activeTab="1" xr2:uid="{92EC66CF-9A57-4DA3-AEAE-05A323F83419}"/>
  </bookViews>
  <sheets>
    <sheet name="Manajemen Aset" sheetId="2" r:id="rId1"/>
    <sheet name="Database" sheetId="3" r:id="rId2"/>
    <sheet name="Karyawan" sheetId="4" r:id="rId3"/>
    <sheet name="BA" sheetId="10" r:id="rId4"/>
  </sheets>
  <functionGroups builtInGroupCount="19"/>
  <definedNames>
    <definedName name="_xlnm._FilterDatabase" localSheetId="1" hidden="1">Database!$A$3:$V$16</definedName>
    <definedName name="AsetData">'Manajemen Aset'!$N$6,'Manajemen Aset'!$N$7:$N$8,'Manajemen Aset'!$N$9,'Manajemen Aset'!$N$11,'Manajemen Aset'!$N$12,'Manajemen Aset'!$N$13,'Manajemen Aset'!$N$14,'Manajemen Aset'!$Q$6,'Manajemen Aset'!$Q$7,'Manajemen Aset'!$Q$8,'Manajemen Aset'!$Q$9,'Manajemen Aset'!$Q$11,'Manajemen Aset'!$Q$13:$Q$14,'Manajemen Aset'!$Q$12,'Manajemen Aset'!$Q$15,'Manajemen Aset'!$Q$16,'Manajemen Aset'!$Q$32</definedName>
    <definedName name="AsetID">OFFSET(Database!$A$3,1,,COUNTA(Database!$A$3:$A$7782)-1,1)</definedName>
    <definedName name="_xlnm.Criteria" localSheetId="1">Database!$Z$2:$AE$3</definedName>
    <definedName name="_xlnm.Extract">Database!$AG$2:$AP$2</definedName>
    <definedName name="listcari">#REF!</definedName>
    <definedName name="ListDivisi">OFFSET(#REF!,,,COUNTA(#REF!),1)</definedName>
    <definedName name="ListKondisi">OFFSET(#REF!,,,COUNTA(#REF!),1)</definedName>
    <definedName name="ListLokasi">OFFSET(#REF!,,,COUNTA(#REF!),1)</definedName>
    <definedName name="ListStatus">OFFSET(#REF!,,,COUNTA(#REF!),1)</definedName>
    <definedName name="ListTipe">OFFSET(#REF!,,,COUNTA(#REF!),1)</definedName>
    <definedName name="NamaKaryawan">OFFSET(Karyawan!$C$4,1,,COUNTA(Karyawan!$C$4:$C$9999)+5,1)</definedName>
    <definedName name="_xlnm.Print_Area" localSheetId="3">BA!$A$1:$K$46</definedName>
    <definedName name="sheet">#REF!</definedName>
  </definedNames>
  <calcPr calcId="18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" i="3" l="1"/>
  <c r="AE8" i="3"/>
  <c r="A15" i="10"/>
  <c r="V5" i="3" l="1"/>
  <c r="V6" i="3"/>
  <c r="V7" i="3"/>
  <c r="V8" i="3"/>
  <c r="V9" i="3"/>
  <c r="V10" i="3"/>
  <c r="V11" i="3"/>
  <c r="V12" i="3"/>
  <c r="V13" i="3"/>
  <c r="V14" i="3"/>
  <c r="V15" i="3"/>
  <c r="V16" i="3"/>
  <c r="AC3" i="3" l="1"/>
  <c r="AB3" i="3"/>
  <c r="AA3" i="3"/>
  <c r="Z3" i="3"/>
  <c r="AD3" i="3"/>
  <c r="X10" i="2" l="1"/>
  <c r="X18" i="2" s="1"/>
  <c r="X16" i="2" l="1"/>
  <c r="N29" i="2" s="1"/>
  <c r="X11" i="2"/>
  <c r="X15" i="2"/>
  <c r="X14" i="2"/>
  <c r="X13" i="2"/>
  <c r="X12" i="2"/>
  <c r="N30" i="2" l="1"/>
  <c r="N28" i="2"/>
  <c r="H46" i="10" l="1"/>
  <c r="B46" i="10"/>
  <c r="AE2" i="3" l="1"/>
  <c r="N31" i="2" l="1"/>
  <c r="X4" i="2" l="1"/>
  <c r="X5" i="2"/>
  <c r="N33" i="2" l="1"/>
  <c r="N32" i="2"/>
  <c r="V4" i="3" l="1"/>
</calcChain>
</file>

<file path=xl/sharedStrings.xml><?xml version="1.0" encoding="utf-8"?>
<sst xmlns="http://schemas.openxmlformats.org/spreadsheetml/2006/main" count="730" uniqueCount="195">
  <si>
    <t>Kode Aset</t>
  </si>
  <si>
    <t>Nomor Aset</t>
  </si>
  <si>
    <t>Satuan</t>
  </si>
  <si>
    <t xml:space="preserve">Jumlah </t>
  </si>
  <si>
    <t>Tahun Pengadaan</t>
  </si>
  <si>
    <t xml:space="preserve">Kondisi </t>
  </si>
  <si>
    <t>PIC</t>
  </si>
  <si>
    <t>Divisi</t>
  </si>
  <si>
    <t>01</t>
  </si>
  <si>
    <t>0001</t>
  </si>
  <si>
    <t>Laptop</t>
  </si>
  <si>
    <t>Lenovo ideapad slim 3i 14IIL05-WRID</t>
  </si>
  <si>
    <t>Unit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</si>
  <si>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</si>
  <si>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</si>
  <si>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</si>
  <si>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</si>
  <si>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</si>
  <si>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</si>
  <si>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</si>
  <si>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</si>
  <si>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</si>
  <si>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`</t>
  </si>
  <si>
    <t>Cari</t>
  </si>
  <si>
    <t>Filter</t>
  </si>
  <si>
    <t>Status</t>
  </si>
  <si>
    <t>No. INV</t>
  </si>
  <si>
    <t>Nama Aset</t>
  </si>
  <si>
    <t>Pengembalian</t>
  </si>
  <si>
    <t>Row Aset</t>
  </si>
  <si>
    <t>Next ID</t>
  </si>
  <si>
    <t>Row Kar</t>
  </si>
  <si>
    <t>Foto Kar</t>
  </si>
  <si>
    <t>Email</t>
  </si>
  <si>
    <t>No. HP</t>
  </si>
  <si>
    <t>Kondisi</t>
  </si>
  <si>
    <t>Terdistribusi Pada</t>
  </si>
  <si>
    <t>No</t>
  </si>
  <si>
    <t>Lokasi</t>
  </si>
  <si>
    <t>Row</t>
  </si>
  <si>
    <t>Baik</t>
  </si>
  <si>
    <t>Tersedia</t>
  </si>
  <si>
    <t>Terdistribusi</t>
  </si>
  <si>
    <t>GA</t>
  </si>
  <si>
    <t>FA</t>
  </si>
  <si>
    <t>Kode Barang</t>
  </si>
  <si>
    <t>Jenis</t>
  </si>
  <si>
    <t>Jumlah</t>
  </si>
  <si>
    <t>Nama</t>
  </si>
  <si>
    <t>INFORMASI ASET</t>
  </si>
  <si>
    <t>02</t>
  </si>
  <si>
    <t>03</t>
  </si>
  <si>
    <t>0011</t>
  </si>
  <si>
    <t>0012</t>
  </si>
  <si>
    <t>0013</t>
  </si>
  <si>
    <t>MSI Modern14 B10RBSW</t>
  </si>
  <si>
    <t>Lenovo Yoga 7i 14ITL5 3UID</t>
  </si>
  <si>
    <t>HP PC 24-df1011d AiO (397 J7PA)</t>
  </si>
  <si>
    <t>Printer</t>
  </si>
  <si>
    <t>Printer HP Smart Tank 615 dan Finger Print revo 2017</t>
  </si>
  <si>
    <t>NIK</t>
  </si>
  <si>
    <t>Informasi Karyawan</t>
  </si>
  <si>
    <t>Kriteria</t>
  </si>
  <si>
    <t>Dinamis</t>
  </si>
  <si>
    <t>Hasil</t>
  </si>
  <si>
    <t>Foto Aset</t>
  </si>
  <si>
    <t>N7</t>
  </si>
  <si>
    <t>N6</t>
  </si>
  <si>
    <t>N14</t>
  </si>
  <si>
    <t>N9</t>
  </si>
  <si>
    <t>N13</t>
  </si>
  <si>
    <t>N12</t>
  </si>
  <si>
    <t>N11</t>
  </si>
  <si>
    <t>Aset No</t>
  </si>
  <si>
    <t>Nama FIle</t>
  </si>
  <si>
    <t>:</t>
  </si>
  <si>
    <t>Jenis Barang</t>
  </si>
  <si>
    <t>Keterangan</t>
  </si>
  <si>
    <t>Nama / Merek Barang</t>
  </si>
  <si>
    <t>Serial Number</t>
  </si>
  <si>
    <t>Lokasi Barang</t>
  </si>
  <si>
    <t>Nama File Foto</t>
  </si>
  <si>
    <t>Bismar</t>
  </si>
  <si>
    <t>Corsec</t>
  </si>
  <si>
    <t>Canon G1010</t>
  </si>
  <si>
    <t>2021</t>
  </si>
  <si>
    <t>Tahun</t>
  </si>
  <si>
    <t>Jumlah Barang</t>
  </si>
  <si>
    <t>X3</t>
  </si>
  <si>
    <t>Q7</t>
  </si>
  <si>
    <t>Q8</t>
  </si>
  <si>
    <t>Q6</t>
  </si>
  <si>
    <t>Q9</t>
  </si>
  <si>
    <t>Q16</t>
  </si>
  <si>
    <t>Q12</t>
  </si>
  <si>
    <t>Q13</t>
  </si>
  <si>
    <t>Q15</t>
  </si>
  <si>
    <t>Q11</t>
  </si>
  <si>
    <t>Q32</t>
  </si>
  <si>
    <t>X7</t>
  </si>
  <si>
    <t>X8</t>
  </si>
  <si>
    <t>Nama/Merk Barang</t>
  </si>
  <si>
    <t>Row Target</t>
  </si>
  <si>
    <t>BERITA ACARA SERAH TERIMA BARANG INVENTARIS</t>
  </si>
  <si>
    <t xml:space="preserve">1. </t>
  </si>
  <si>
    <t>Jabatan</t>
  </si>
  <si>
    <t>Alamat</t>
  </si>
  <si>
    <t>2.</t>
  </si>
  <si>
    <t>Spesifikasi</t>
  </si>
  <si>
    <t>Dalam kondisi baik dan siap pakai lengkap dengan 1 (satu) buah Tas, Charger Laptop</t>
  </si>
  <si>
    <t>Merk</t>
  </si>
  <si>
    <t>Demikian Berita Acara Serah Terima Barang Inventaris ini dibuat untuk dipergunakan sebagaimana mestinya.</t>
  </si>
  <si>
    <t>Yang Menyerahkan,</t>
  </si>
  <si>
    <t>PIHAK PERTAMA</t>
  </si>
  <si>
    <t>Yang Menerima,</t>
  </si>
  <si>
    <t>PIHAK KEDUA</t>
  </si>
  <si>
    <t>Level Jabatan</t>
  </si>
  <si>
    <t>Nama Jabatan</t>
  </si>
  <si>
    <t>General Affair Manager</t>
  </si>
  <si>
    <t>File Foto Karyawan</t>
  </si>
  <si>
    <t>Pendistribusian</t>
  </si>
  <si>
    <t>Tanggal</t>
  </si>
  <si>
    <t>Lenovo ideapad slim 3i 14IIL05-WRID.jpg</t>
  </si>
  <si>
    <t>MSI Modern14 B10RBSW.jpg</t>
  </si>
  <si>
    <t>Lenovo Yoga 7i 14ITL5 3UID.jpg</t>
  </si>
  <si>
    <t>Mackbook Pro 13 Inc 8GB Ram 256 GB SSD.jpg</t>
  </si>
  <si>
    <t>HP PC 24-df1011d AiO (397 J7PA).webp</t>
  </si>
  <si>
    <t>Canon G1010.png</t>
  </si>
  <si>
    <t>Printer HP Smart Tank 615 dan Finger Print revo 2017.webp</t>
  </si>
  <si>
    <t/>
  </si>
  <si>
    <t>0</t>
  </si>
  <si>
    <t>1/7/2023</t>
  </si>
  <si>
    <t>PIC Sebelumnya</t>
  </si>
  <si>
    <t>X17</t>
  </si>
  <si>
    <r>
      <t xml:space="preserve">Selanjutnya disebut </t>
    </r>
    <r>
      <rPr>
        <b/>
        <sz val="11"/>
        <color theme="1"/>
        <rFont val="Times New Roman"/>
        <family val="1"/>
      </rPr>
      <t>PIHAK PERTAMA</t>
    </r>
  </si>
  <si>
    <r>
      <t xml:space="preserve">Selanjutnya disebut </t>
    </r>
    <r>
      <rPr>
        <b/>
        <sz val="11"/>
        <color theme="1"/>
        <rFont val="Times New Roman"/>
        <family val="1"/>
      </rPr>
      <t>PIHAK KEDUA</t>
    </r>
  </si>
  <si>
    <r>
      <rPr>
        <b/>
        <sz val="11"/>
        <color theme="1"/>
        <rFont val="Times New Roman"/>
        <family val="1"/>
      </rPr>
      <t>PIHAK PERTAMA</t>
    </r>
    <r>
      <rPr>
        <sz val="11"/>
        <color theme="1"/>
        <rFont val="Times New Roman"/>
        <family val="1"/>
      </rPr>
      <t xml:space="preserve"> menyerahkan barang inventaris milik PT KITB berupa 1 (satu) unit Computer Laptop kepada </t>
    </r>
    <r>
      <rPr>
        <b/>
        <sz val="11"/>
        <color theme="1"/>
        <rFont val="Times New Roman"/>
        <family val="1"/>
      </rPr>
      <t xml:space="preserve">PIHAK KEDUA </t>
    </r>
    <r>
      <rPr>
        <sz val="11"/>
        <color theme="1"/>
        <rFont val="Times New Roman"/>
        <family val="1"/>
      </rPr>
      <t>dengan detail:</t>
    </r>
  </si>
  <si>
    <t>INVENTARIS PT ABCDEFG</t>
  </si>
  <si>
    <t>Daftar Nama Karyawan PT ABCDEFG</t>
  </si>
  <si>
    <t>noImage.png</t>
  </si>
  <si>
    <t>Taufiq Hidayat</t>
  </si>
  <si>
    <t>Direktur</t>
  </si>
  <si>
    <t>Direktur Utama</t>
  </si>
  <si>
    <t>Direksi</t>
  </si>
  <si>
    <t>taufiqhidaayaat@gmail.com</t>
  </si>
  <si>
    <t>Desktop</t>
  </si>
  <si>
    <t>Kiking</t>
  </si>
  <si>
    <t>Rikko Adjie</t>
  </si>
  <si>
    <t>Bintang Gymnastiar</t>
  </si>
  <si>
    <t>Bayu Rifqi</t>
  </si>
  <si>
    <t>Rizki</t>
  </si>
  <si>
    <t>Ibnu Soleh</t>
  </si>
  <si>
    <t>Farhan Aer</t>
  </si>
  <si>
    <t>Ogyan Pratama</t>
  </si>
  <si>
    <t>Procurement</t>
  </si>
  <si>
    <t>Macbook Pro 13 Inc 8GB Ram 256 GB SSD</t>
  </si>
  <si>
    <t>01.0001-ABCD-21</t>
  </si>
  <si>
    <t>01.0002-ABCD-21</t>
  </si>
  <si>
    <t>01.0003-ABCD-21</t>
  </si>
  <si>
    <t>01.0017-ABCD-21</t>
  </si>
  <si>
    <t>01.0018-ABCD-21</t>
  </si>
  <si>
    <t>01.0019-ABCD-21</t>
  </si>
  <si>
    <t>01.0024-ABCD-21</t>
  </si>
  <si>
    <t>01.0025-ABCD-21</t>
  </si>
  <si>
    <t>01.0027-ABCD-21</t>
  </si>
  <si>
    <t>01.0029-ABCD-21</t>
  </si>
  <si>
    <t>01.0030-ABCD-21</t>
  </si>
  <si>
    <t>01.0040-ABCD-21</t>
  </si>
  <si>
    <t>01.0041-ABCD-21</t>
  </si>
  <si>
    <t>9/6/2023</t>
  </si>
  <si>
    <t>Lenovo</t>
  </si>
  <si>
    <t>PT ABCDEFG</t>
  </si>
  <si>
    <t>HQ</t>
  </si>
  <si>
    <t>Semarang</t>
  </si>
  <si>
    <t>UNDIP</t>
  </si>
  <si>
    <t>UNNES</t>
  </si>
  <si>
    <t>UINWS</t>
  </si>
  <si>
    <t>08123456789</t>
  </si>
  <si>
    <t>Staff</t>
  </si>
  <si>
    <t>Staff Bisnis</t>
  </si>
  <si>
    <t>Staff GA</t>
  </si>
  <si>
    <t>abcd@gmail.com</t>
  </si>
  <si>
    <t>Head</t>
  </si>
  <si>
    <t>Head Corsec</t>
  </si>
  <si>
    <t>Staff Corsec</t>
  </si>
  <si>
    <t>Head Procurement</t>
  </si>
  <si>
    <t>Head Accounting</t>
  </si>
  <si>
    <t>Staff Accounting</t>
  </si>
  <si>
    <t>Blue</t>
  </si>
  <si>
    <t>Sampangan, Kec. Gajahmungkur, Kota Semarang</t>
  </si>
  <si>
    <t>Indramayu</t>
  </si>
  <si>
    <t>UIN</t>
  </si>
  <si>
    <t>hidayat.jpg</t>
  </si>
  <si>
    <t>jihyo.jpg</t>
  </si>
  <si>
    <t>No: 123/ABCD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</si>
</sst>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$-421]dd\ mmmm\ yyyy;@"/>
  </numFmts>
  <fonts count="1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8" tint="-0.249977111117893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name val="Arial"/>
      <family val="2"/>
    </font>
    <font>
      <u/>
      <sz val="11"/>
      <color theme="10"/>
      <name val="Calibri"/>
      <family val="2"/>
      <charset val="1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gradientFill degree="90">
        <stop position="0">
          <color theme="8" tint="-0.25098422193060094"/>
        </stop>
        <stop position="1">
          <color theme="8"/>
        </stop>
      </gradientFill>
    </fill>
    <fill>
      <gradientFill degree="90">
        <stop position="0">
          <color theme="8"/>
        </stop>
        <stop position="1">
          <color theme="8" tint="0.59999389629810485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8" tint="-0.24994659260841701"/>
      </right>
      <top/>
      <bottom style="medium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 style="dashed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/>
      <right/>
      <top/>
      <bottom style="thin">
        <color theme="8" tint="-0.24994659260841701"/>
      </bottom>
      <diagonal/>
    </border>
    <border>
      <left style="dashed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dashed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dashed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24994659260841701"/>
      </left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dashed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dashed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8" tint="-0.24994659260841701"/>
      </left>
      <right style="medium">
        <color theme="8" tint="-0.24994659260841701"/>
      </right>
      <top/>
      <bottom style="medium">
        <color theme="8" tint="-0.24994659260841701"/>
      </bottom>
      <diagonal/>
    </border>
    <border>
      <left style="thin">
        <color theme="8" tint="-0.24994659260841701"/>
      </left>
      <right style="dashed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 style="dashed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26">
    <xf numFmtId="0" fontId="0" fillId="0" borderId="0"/>
    <xf numFmtId="166" fontId="1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166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10" fillId="0" borderId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5" fillId="0" borderId="0"/>
    <xf numFmtId="166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0" fontId="15" fillId="0" borderId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189">
    <xf numFmtId="0" fontId="0" fillId="0" borderId="0" xfId="0"/>
    <xf numFmtId="0" fontId="0" fillId="4" borderId="0" xfId="0" applyFill="1"/>
    <xf numFmtId="0" fontId="0" fillId="4" borderId="0" xfId="0" applyFill="1" applyBorder="1"/>
    <xf numFmtId="14" fontId="0" fillId="4" borderId="0" xfId="0" applyNumberFormat="1" applyFill="1"/>
    <xf numFmtId="0" fontId="0" fillId="5" borderId="0" xfId="0" applyFill="1"/>
    <xf numFmtId="0" fontId="0" fillId="5" borderId="0" xfId="0" applyFill="1" applyBorder="1"/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/>
    <xf numFmtId="49" fontId="0" fillId="3" borderId="0" xfId="0" applyNumberFormat="1" applyFill="1" applyBorder="1" applyAlignment="1">
      <alignment horizontal="left" vertical="top" wrapText="1"/>
    </xf>
    <xf numFmtId="0" fontId="0" fillId="3" borderId="0" xfId="0" applyFill="1" applyBorder="1" applyAlignment="1">
      <alignment horizontal="right" vertical="center"/>
    </xf>
    <xf numFmtId="0" fontId="0" fillId="3" borderId="0" xfId="0" applyFill="1" applyBorder="1" applyAlignment="1">
      <alignment horizontal="right"/>
    </xf>
    <xf numFmtId="0" fontId="5" fillId="3" borderId="0" xfId="0" applyFont="1" applyFill="1"/>
    <xf numFmtId="0" fontId="5" fillId="3" borderId="0" xfId="0" applyFont="1" applyFill="1" applyBorder="1"/>
    <xf numFmtId="0" fontId="0" fillId="3" borderId="4" xfId="0" applyFill="1" applyBorder="1" applyAlignment="1">
      <alignment horizontal="right" vertical="center"/>
    </xf>
    <xf numFmtId="0" fontId="0" fillId="3" borderId="9" xfId="0" applyFill="1" applyBorder="1" applyAlignment="1">
      <alignment horizontal="right"/>
    </xf>
    <xf numFmtId="0" fontId="0" fillId="3" borderId="9" xfId="0" applyFill="1" applyBorder="1" applyAlignment="1">
      <alignment horizontal="right" vertical="center"/>
    </xf>
    <xf numFmtId="0" fontId="0" fillId="3" borderId="11" xfId="0" applyFill="1" applyBorder="1"/>
    <xf numFmtId="0" fontId="0" fillId="3" borderId="12" xfId="0" applyFill="1" applyBorder="1"/>
    <xf numFmtId="0" fontId="0" fillId="3" borderId="6" xfId="0" applyFill="1" applyBorder="1"/>
    <xf numFmtId="0" fontId="0" fillId="3" borderId="13" xfId="0" applyFill="1" applyBorder="1"/>
    <xf numFmtId="0" fontId="0" fillId="3" borderId="8" xfId="0" applyFill="1" applyBorder="1"/>
    <xf numFmtId="0" fontId="0" fillId="3" borderId="0" xfId="0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 vertical="center"/>
    </xf>
    <xf numFmtId="49" fontId="0" fillId="3" borderId="14" xfId="0" applyNumberFormat="1" applyFill="1" applyBorder="1" applyAlignment="1">
      <alignment vertical="center"/>
    </xf>
    <xf numFmtId="49" fontId="0" fillId="2" borderId="14" xfId="0" applyNumberFormat="1" applyFill="1" applyBorder="1" applyAlignment="1">
      <alignment vertical="center"/>
    </xf>
    <xf numFmtId="14" fontId="0" fillId="3" borderId="0" xfId="0" applyNumberFormat="1" applyFill="1"/>
    <xf numFmtId="0" fontId="0" fillId="3" borderId="17" xfId="0" applyFill="1" applyBorder="1"/>
    <xf numFmtId="49" fontId="0" fillId="3" borderId="0" xfId="0" applyNumberFormat="1" applyFill="1" applyBorder="1"/>
    <xf numFmtId="0" fontId="0" fillId="3" borderId="27" xfId="0" applyNumberFormat="1" applyFill="1" applyBorder="1" applyAlignment="1">
      <alignment horizontal="left" vertical="center"/>
    </xf>
    <xf numFmtId="0" fontId="0" fillId="3" borderId="27" xfId="0" applyFill="1" applyBorder="1" applyAlignment="1">
      <alignment horizontal="left" vertical="center"/>
    </xf>
    <xf numFmtId="0" fontId="0" fillId="3" borderId="26" xfId="0" applyFill="1" applyBorder="1" applyAlignment="1">
      <alignment horizontal="right" vertical="center"/>
    </xf>
    <xf numFmtId="49" fontId="3" fillId="0" borderId="1" xfId="0" applyNumberFormat="1" applyFont="1" applyFill="1" applyBorder="1" applyAlignment="1"/>
    <xf numFmtId="0" fontId="3" fillId="0" borderId="1" xfId="0" applyFont="1" applyFill="1" applyBorder="1" applyAlignment="1"/>
    <xf numFmtId="14" fontId="0" fillId="3" borderId="9" xfId="0" applyNumberFormat="1" applyFill="1" applyBorder="1" applyAlignment="1">
      <alignment horizontal="right" vertical="center"/>
    </xf>
    <xf numFmtId="0" fontId="0" fillId="3" borderId="28" xfId="0" applyFill="1" applyBorder="1"/>
    <xf numFmtId="0" fontId="0" fillId="3" borderId="3" xfId="0" applyFill="1" applyBorder="1"/>
    <xf numFmtId="0" fontId="0" fillId="3" borderId="29" xfId="0" applyFill="1" applyBorder="1"/>
    <xf numFmtId="0" fontId="0" fillId="0" borderId="1" xfId="0" applyFont="1" applyFill="1" applyBorder="1"/>
    <xf numFmtId="0" fontId="0" fillId="6" borderId="0" xfId="0" applyFont="1" applyFill="1" applyAlignment="1"/>
    <xf numFmtId="49" fontId="0" fillId="6" borderId="0" xfId="0" applyNumberFormat="1" applyFont="1" applyFill="1" applyAlignment="1"/>
    <xf numFmtId="167" fontId="0" fillId="6" borderId="0" xfId="0" applyNumberFormat="1" applyFont="1" applyFill="1" applyAlignment="1"/>
    <xf numFmtId="0" fontId="0" fillId="6" borderId="0" xfId="0" applyFont="1" applyFill="1"/>
    <xf numFmtId="0" fontId="0" fillId="0" borderId="0" xfId="0" applyFont="1" applyFill="1"/>
    <xf numFmtId="0" fontId="0" fillId="6" borderId="0" xfId="0" applyFont="1" applyFill="1" applyBorder="1"/>
    <xf numFmtId="0" fontId="0" fillId="0" borderId="0" xfId="0" applyFont="1" applyFill="1" applyBorder="1"/>
    <xf numFmtId="0" fontId="0" fillId="0" borderId="0" xfId="0" applyFont="1" applyFill="1" applyAlignment="1"/>
    <xf numFmtId="49" fontId="0" fillId="0" borderId="0" xfId="0" applyNumberFormat="1" applyFont="1" applyFill="1" applyAlignment="1"/>
    <xf numFmtId="14" fontId="0" fillId="3" borderId="4" xfId="0" applyNumberFormat="1" applyFill="1" applyBorder="1" applyAlignment="1">
      <alignment horizontal="right" vertical="center"/>
    </xf>
    <xf numFmtId="0" fontId="0" fillId="3" borderId="0" xfId="0" applyFill="1" applyBorder="1" applyAlignment="1">
      <alignment horizontal="center"/>
    </xf>
    <xf numFmtId="14" fontId="0" fillId="3" borderId="0" xfId="0" applyNumberFormat="1" applyFill="1" applyBorder="1"/>
    <xf numFmtId="49" fontId="0" fillId="3" borderId="0" xfId="0" applyNumberFormat="1" applyFill="1"/>
    <xf numFmtId="0" fontId="2" fillId="7" borderId="1" xfId="8" applyFont="1" applyFill="1" applyBorder="1" applyAlignment="1">
      <alignment horizontal="center" vertical="center"/>
    </xf>
    <xf numFmtId="0" fontId="2" fillId="2" borderId="1" xfId="8" applyFont="1" applyFill="1" applyBorder="1" applyAlignment="1">
      <alignment horizontal="center" vertical="center"/>
    </xf>
    <xf numFmtId="0" fontId="3" fillId="6" borderId="2" xfId="0" applyFont="1" applyFill="1" applyBorder="1" applyAlignment="1"/>
    <xf numFmtId="0" fontId="4" fillId="3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1" xfId="0" applyFont="1" applyFill="1" applyBorder="1"/>
    <xf numFmtId="0" fontId="2" fillId="3" borderId="1" xfId="8" applyFont="1" applyFill="1" applyBorder="1" applyAlignment="1">
      <alignment horizontal="center" vertical="center"/>
    </xf>
    <xf numFmtId="0" fontId="2" fillId="2" borderId="1" xfId="0" applyFont="1" applyFill="1" applyBorder="1" applyAlignment="1"/>
    <xf numFmtId="167" fontId="2" fillId="2" borderId="1" xfId="0" applyNumberFormat="1" applyFont="1" applyFill="1" applyBorder="1" applyAlignment="1"/>
    <xf numFmtId="0" fontId="0" fillId="3" borderId="17" xfId="0" applyFill="1" applyBorder="1" applyAlignment="1">
      <alignment vertical="top"/>
    </xf>
    <xf numFmtId="0" fontId="0" fillId="2" borderId="17" xfId="0" applyFill="1" applyBorder="1" applyAlignment="1">
      <alignment vertical="top"/>
    </xf>
    <xf numFmtId="0" fontId="0" fillId="2" borderId="17" xfId="0" applyFill="1" applyBorder="1" applyAlignment="1">
      <alignment horizontal="left" vertical="top"/>
    </xf>
    <xf numFmtId="0" fontId="4" fillId="3" borderId="17" xfId="0" applyFont="1" applyFill="1" applyBorder="1" applyAlignment="1">
      <alignment horizontal="left" vertical="top"/>
    </xf>
    <xf numFmtId="0" fontId="0" fillId="8" borderId="32" xfId="0" applyFill="1" applyBorder="1"/>
    <xf numFmtId="49" fontId="3" fillId="0" borderId="1" xfId="2" quotePrefix="1" applyNumberFormat="1" applyFont="1" applyFill="1" applyBorder="1" applyAlignment="1">
      <alignment horizontal="center"/>
    </xf>
    <xf numFmtId="49" fontId="3" fillId="0" borderId="1" xfId="3" applyNumberFormat="1" applyFont="1" applyBorder="1" applyAlignment="1">
      <alignment horizontal="center"/>
    </xf>
    <xf numFmtId="49" fontId="3" fillId="0" borderId="1" xfId="3" quotePrefix="1" applyNumberFormat="1" applyFont="1" applyBorder="1" applyAlignment="1">
      <alignment horizontal="center"/>
    </xf>
    <xf numFmtId="49" fontId="3" fillId="0" borderId="1" xfId="4" applyNumberFormat="1" applyFont="1" applyFill="1" applyBorder="1" applyAlignment="1">
      <alignment horizontal="left"/>
    </xf>
    <xf numFmtId="49" fontId="3" fillId="0" borderId="1" xfId="4" applyNumberFormat="1" applyFont="1" applyBorder="1" applyAlignment="1">
      <alignment horizontal="left"/>
    </xf>
    <xf numFmtId="49" fontId="3" fillId="0" borderId="1" xfId="3" applyNumberFormat="1" applyFont="1" applyBorder="1"/>
    <xf numFmtId="49" fontId="3" fillId="9" borderId="1" xfId="4" applyNumberFormat="1" applyFont="1" applyFill="1" applyBorder="1" applyAlignment="1">
      <alignment horizontal="left"/>
    </xf>
    <xf numFmtId="49" fontId="3" fillId="0" borderId="1" xfId="4" applyNumberFormat="1" applyFont="1" applyFill="1" applyBorder="1" applyAlignment="1">
      <alignment horizontal="left" vertical="center"/>
    </xf>
    <xf numFmtId="49" fontId="3" fillId="0" borderId="34" xfId="4" applyNumberFormat="1" applyFont="1" applyBorder="1" applyAlignment="1">
      <alignment horizontal="left"/>
    </xf>
    <xf numFmtId="49" fontId="3" fillId="0" borderId="1" xfId="4" applyNumberFormat="1" applyFont="1" applyBorder="1" applyAlignment="1">
      <alignment vertical="center"/>
    </xf>
    <xf numFmtId="49" fontId="6" fillId="0" borderId="1" xfId="4" applyNumberFormat="1" applyFont="1" applyFill="1" applyBorder="1"/>
    <xf numFmtId="49" fontId="0" fillId="0" borderId="1" xfId="4" applyNumberFormat="1" applyFont="1" applyFill="1" applyBorder="1"/>
    <xf numFmtId="49" fontId="3" fillId="0" borderId="1" xfId="4" applyNumberFormat="1" applyFont="1" applyBorder="1" applyAlignment="1">
      <alignment horizontal="left" vertical="center" wrapText="1"/>
    </xf>
    <xf numFmtId="49" fontId="3" fillId="0" borderId="1" xfId="4" quotePrefix="1" applyNumberFormat="1" applyFont="1" applyBorder="1" applyAlignment="1">
      <alignment horizontal="left"/>
    </xf>
    <xf numFmtId="49" fontId="3" fillId="0" borderId="1" xfId="3" applyNumberFormat="1" applyFont="1" applyBorder="1" applyAlignment="1">
      <alignment horizontal="left"/>
    </xf>
    <xf numFmtId="49" fontId="3" fillId="0" borderId="1" xfId="4" quotePrefix="1" applyNumberFormat="1" applyFont="1" applyFill="1" applyBorder="1" applyAlignment="1">
      <alignment horizontal="left"/>
    </xf>
    <xf numFmtId="49" fontId="3" fillId="0" borderId="1" xfId="4" quotePrefix="1" applyNumberFormat="1" applyFont="1" applyBorder="1" applyAlignment="1"/>
    <xf numFmtId="49" fontId="6" fillId="0" borderId="1" xfId="3" applyNumberFormat="1" applyBorder="1"/>
    <xf numFmtId="49" fontId="3" fillId="0" borderId="1" xfId="4" applyNumberFormat="1" applyFont="1" applyBorder="1" applyAlignment="1"/>
    <xf numFmtId="164" fontId="3" fillId="0" borderId="1" xfId="4" applyFont="1" applyBorder="1" applyAlignment="1">
      <alignment horizontal="left"/>
    </xf>
    <xf numFmtId="0" fontId="3" fillId="0" borderId="1" xfId="3" applyFont="1" applyBorder="1" applyAlignment="1">
      <alignment horizontal="center"/>
    </xf>
    <xf numFmtId="164" fontId="3" fillId="0" borderId="1" xfId="4" quotePrefix="1" applyFont="1" applyBorder="1" applyAlignment="1"/>
    <xf numFmtId="0" fontId="3" fillId="0" borderId="1" xfId="3" applyFont="1" applyBorder="1"/>
    <xf numFmtId="164" fontId="3" fillId="0" borderId="1" xfId="4" applyFont="1" applyBorder="1" applyAlignment="1"/>
    <xf numFmtId="49" fontId="0" fillId="3" borderId="28" xfId="0" applyNumberFormat="1" applyFill="1" applyBorder="1"/>
    <xf numFmtId="0" fontId="11" fillId="0" borderId="0" xfId="8" applyFont="1"/>
    <xf numFmtId="0" fontId="6" fillId="0" borderId="0" xfId="8" applyFont="1"/>
    <xf numFmtId="0" fontId="6" fillId="0" borderId="0" xfId="8" applyFont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/>
    <xf numFmtId="0" fontId="0" fillId="0" borderId="0" xfId="0" applyAlignment="1">
      <alignment horizontal="left" vertical="top"/>
    </xf>
    <xf numFmtId="167" fontId="0" fillId="0" borderId="0" xfId="0" applyNumberFormat="1"/>
    <xf numFmtId="0" fontId="0" fillId="2" borderId="22" xfId="0" applyFill="1" applyBorder="1"/>
    <xf numFmtId="0" fontId="0" fillId="2" borderId="23" xfId="0" applyFill="1" applyBorder="1"/>
    <xf numFmtId="0" fontId="0" fillId="3" borderId="28" xfId="0" applyFill="1" applyBorder="1" applyAlignment="1">
      <alignment wrapText="1"/>
    </xf>
    <xf numFmtId="0" fontId="0" fillId="3" borderId="1" xfId="0" applyFont="1" applyFill="1" applyBorder="1" applyAlignment="1">
      <alignment horizontal="center"/>
    </xf>
    <xf numFmtId="49" fontId="3" fillId="6" borderId="2" xfId="0" applyNumberFormat="1" applyFont="1" applyFill="1" applyBorder="1"/>
    <xf numFmtId="0" fontId="12" fillId="3" borderId="32" xfId="0" applyFont="1" applyFill="1" applyBorder="1"/>
    <xf numFmtId="49" fontId="12" fillId="3" borderId="32" xfId="0" applyNumberFormat="1" applyFont="1" applyFill="1" applyBorder="1"/>
    <xf numFmtId="49" fontId="2" fillId="0" borderId="1" xfId="12" applyNumberFormat="1" applyFont="1" applyBorder="1" applyAlignment="1">
      <alignment horizontal="center" vertical="center"/>
    </xf>
    <xf numFmtId="49" fontId="3" fillId="0" borderId="1" xfId="12" quotePrefix="1" applyNumberFormat="1" applyFont="1" applyBorder="1" applyAlignment="1">
      <alignment horizontal="center" vertical="center"/>
    </xf>
    <xf numFmtId="49" fontId="3" fillId="0" borderId="1" xfId="12" applyNumberFormat="1" applyFont="1" applyFill="1" applyBorder="1" applyAlignment="1">
      <alignment horizontal="left" vertical="center" wrapText="1"/>
    </xf>
    <xf numFmtId="49" fontId="3" fillId="0" borderId="1" xfId="12" applyNumberFormat="1" applyFont="1" applyBorder="1" applyAlignment="1">
      <alignment horizontal="center" vertical="center"/>
    </xf>
    <xf numFmtId="49" fontId="3" fillId="0" borderId="1" xfId="12" applyNumberFormat="1" applyFont="1" applyBorder="1" applyAlignment="1">
      <alignment horizontal="left" vertical="center"/>
    </xf>
    <xf numFmtId="49" fontId="3" fillId="0" borderId="1" xfId="12" applyNumberFormat="1" applyFont="1" applyBorder="1" applyAlignment="1">
      <alignment vertical="center"/>
    </xf>
    <xf numFmtId="49" fontId="3" fillId="0" borderId="1" xfId="12" applyNumberFormat="1" applyFont="1" applyBorder="1"/>
    <xf numFmtId="49" fontId="3" fillId="9" borderId="1" xfId="12" applyNumberFormat="1" applyFont="1" applyFill="1" applyBorder="1" applyAlignment="1">
      <alignment horizontal="left" vertical="center" wrapText="1"/>
    </xf>
    <xf numFmtId="49" fontId="3" fillId="7" borderId="1" xfId="12" applyNumberFormat="1" applyFont="1" applyFill="1" applyBorder="1" applyAlignment="1">
      <alignment horizontal="left" vertical="center" wrapText="1"/>
    </xf>
    <xf numFmtId="49" fontId="3" fillId="0" borderId="1" xfId="12" applyNumberFormat="1" applyFont="1" applyBorder="1" applyAlignment="1">
      <alignment horizontal="left" vertical="center" wrapText="1"/>
    </xf>
    <xf numFmtId="49" fontId="3" fillId="0" borderId="35" xfId="12" applyNumberFormat="1" applyFont="1" applyBorder="1" applyAlignment="1">
      <alignment horizontal="left" vertical="center"/>
    </xf>
    <xf numFmtId="49" fontId="3" fillId="0" borderId="34" xfId="12" applyNumberFormat="1" applyFont="1" applyBorder="1" applyAlignment="1">
      <alignment horizontal="left"/>
    </xf>
    <xf numFmtId="49" fontId="6" fillId="0" borderId="1" xfId="12" applyNumberFormat="1" applyFont="1" applyBorder="1" applyAlignment="1">
      <alignment vertical="center" wrapText="1"/>
    </xf>
    <xf numFmtId="49" fontId="3" fillId="0" borderId="0" xfId="12" applyNumberFormat="1" applyFont="1" applyFill="1" applyAlignment="1">
      <alignment horizontal="left" vertical="center"/>
    </xf>
    <xf numFmtId="49" fontId="0" fillId="0" borderId="1" xfId="12" applyNumberFormat="1" applyFont="1" applyBorder="1" applyAlignment="1">
      <alignment vertical="center"/>
    </xf>
    <xf numFmtId="49" fontId="3" fillId="0" borderId="0" xfId="12" applyNumberFormat="1" applyFont="1" applyAlignment="1">
      <alignment vertical="center"/>
    </xf>
    <xf numFmtId="49" fontId="0" fillId="0" borderId="1" xfId="12" applyNumberFormat="1" applyFont="1" applyFill="1" applyBorder="1" applyAlignment="1">
      <alignment vertical="center"/>
    </xf>
    <xf numFmtId="49" fontId="3" fillId="0" borderId="1" xfId="12" applyNumberFormat="1" applyFont="1" applyBorder="1" applyAlignment="1">
      <alignment horizontal="left"/>
    </xf>
    <xf numFmtId="49" fontId="0" fillId="0" borderId="1" xfId="12" applyNumberFormat="1" applyFont="1" applyBorder="1" applyAlignment="1">
      <alignment vertical="center" wrapText="1"/>
    </xf>
    <xf numFmtId="49" fontId="0" fillId="4" borderId="0" xfId="0" applyNumberFormat="1" applyFill="1"/>
    <xf numFmtId="49" fontId="0" fillId="5" borderId="0" xfId="0" applyNumberFormat="1" applyFill="1"/>
    <xf numFmtId="49" fontId="0" fillId="3" borderId="17" xfId="0" applyNumberFormat="1" applyFill="1" applyBorder="1" applyAlignment="1">
      <alignment horizontal="left" vertical="top"/>
    </xf>
    <xf numFmtId="49" fontId="0" fillId="8" borderId="32" xfId="0" applyNumberFormat="1" applyFill="1" applyBorder="1"/>
    <xf numFmtId="49" fontId="0" fillId="6" borderId="0" xfId="1" applyNumberFormat="1" applyFont="1" applyFill="1" applyAlignment="1"/>
    <xf numFmtId="49" fontId="2" fillId="2" borderId="1" xfId="1" applyNumberFormat="1" applyFont="1" applyFill="1" applyBorder="1" applyAlignment="1">
      <alignment horizontal="center" vertical="center"/>
    </xf>
    <xf numFmtId="49" fontId="2" fillId="7" borderId="1" xfId="1" applyNumberFormat="1" applyFont="1" applyFill="1" applyBorder="1" applyAlignment="1">
      <alignment horizontal="center" vertical="center"/>
    </xf>
    <xf numFmtId="49" fontId="0" fillId="0" borderId="0" xfId="1" applyNumberFormat="1" applyFont="1" applyFill="1" applyAlignment="1"/>
    <xf numFmtId="0" fontId="3" fillId="0" borderId="0" xfId="0" applyFont="1" applyAlignment="1">
      <alignment horizontal="left" vertical="top"/>
    </xf>
    <xf numFmtId="0" fontId="3" fillId="0" borderId="0" xfId="0" applyFont="1"/>
    <xf numFmtId="49" fontId="3" fillId="0" borderId="0" xfId="0" applyNumberFormat="1" applyFont="1" applyAlignment="1">
      <alignment horizontal="right" vertical="top"/>
    </xf>
    <xf numFmtId="0" fontId="3" fillId="0" borderId="0" xfId="0" applyFont="1" applyAlignment="1">
      <alignment horizontal="right" vertical="top"/>
    </xf>
    <xf numFmtId="49" fontId="0" fillId="3" borderId="17" xfId="0" applyNumberFormat="1" applyFill="1" applyBorder="1" applyAlignment="1">
      <alignment vertical="top"/>
    </xf>
    <xf numFmtId="49" fontId="0" fillId="2" borderId="17" xfId="0" applyNumberFormat="1" applyFill="1" applyBorder="1" applyAlignment="1">
      <alignment vertical="top"/>
    </xf>
    <xf numFmtId="49" fontId="3" fillId="0" borderId="1" xfId="3" quotePrefix="1" applyNumberFormat="1" applyFont="1" applyFill="1" applyBorder="1" applyAlignment="1">
      <alignment horizontal="center"/>
    </xf>
    <xf numFmtId="49" fontId="3" fillId="0" borderId="1" xfId="3" applyNumberFormat="1" applyFont="1" applyFill="1" applyBorder="1" applyAlignment="1">
      <alignment horizontal="center"/>
    </xf>
    <xf numFmtId="49" fontId="3" fillId="0" borderId="1" xfId="3" applyNumberFormat="1" applyFont="1" applyFill="1" applyBorder="1"/>
    <xf numFmtId="0" fontId="3" fillId="0" borderId="1" xfId="3" applyNumberFormat="1" applyFont="1" applyFill="1" applyBorder="1" applyAlignment="1"/>
    <xf numFmtId="49" fontId="3" fillId="0" borderId="33" xfId="4" applyNumberFormat="1" applyFont="1" applyFill="1" applyBorder="1" applyAlignment="1">
      <alignment horizontal="left"/>
    </xf>
    <xf numFmtId="0" fontId="0" fillId="0" borderId="0" xfId="0" applyFill="1" applyAlignment="1"/>
    <xf numFmtId="49" fontId="3" fillId="0" borderId="34" xfId="4" applyNumberFormat="1" applyFont="1" applyFill="1" applyBorder="1" applyAlignment="1">
      <alignment horizontal="left"/>
    </xf>
    <xf numFmtId="0" fontId="0" fillId="2" borderId="14" xfId="0" applyNumberFormat="1" applyFill="1" applyBorder="1" applyAlignment="1">
      <alignment vertical="center"/>
    </xf>
    <xf numFmtId="0" fontId="0" fillId="3" borderId="28" xfId="0" applyNumberFormat="1" applyFill="1" applyBorder="1"/>
    <xf numFmtId="167" fontId="0" fillId="3" borderId="14" xfId="0" applyNumberFormat="1" applyFill="1" applyBorder="1" applyAlignment="1">
      <alignment horizontal="left" vertical="center"/>
    </xf>
    <xf numFmtId="0" fontId="0" fillId="0" borderId="36" xfId="0" applyBorder="1"/>
    <xf numFmtId="0" fontId="0" fillId="0" borderId="36" xfId="0" applyFill="1" applyBorder="1"/>
    <xf numFmtId="49" fontId="0" fillId="0" borderId="36" xfId="0" applyNumberFormat="1" applyBorder="1"/>
    <xf numFmtId="0" fontId="16" fillId="0" borderId="36" xfId="25" applyBorder="1"/>
    <xf numFmtId="0" fontId="0" fillId="0" borderId="36" xfId="0" quotePrefix="1" applyBorder="1"/>
    <xf numFmtId="49" fontId="3" fillId="0" borderId="36" xfId="4" applyNumberFormat="1" applyFont="1" applyFill="1" applyBorder="1" applyAlignment="1">
      <alignment horizontal="left"/>
    </xf>
    <xf numFmtId="49" fontId="0" fillId="2" borderId="17" xfId="0" applyNumberFormat="1" applyFill="1" applyBorder="1" applyAlignment="1">
      <alignment horizontal="left" vertical="top"/>
    </xf>
    <xf numFmtId="0" fontId="8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49" fontId="0" fillId="3" borderId="15" xfId="0" applyNumberFormat="1" applyFill="1" applyBorder="1" applyAlignment="1">
      <alignment horizontal="left" vertical="top" wrapText="1"/>
    </xf>
    <xf numFmtId="49" fontId="0" fillId="3" borderId="16" xfId="0" applyNumberFormat="1" applyFill="1" applyBorder="1" applyAlignment="1">
      <alignment horizontal="left" vertical="top" wrapText="1"/>
    </xf>
    <xf numFmtId="0" fontId="0" fillId="3" borderId="5" xfId="0" applyFill="1" applyBorder="1" applyAlignment="1">
      <alignment horizontal="right" vertical="top"/>
    </xf>
    <xf numFmtId="0" fontId="0" fillId="3" borderId="6" xfId="0" applyFill="1" applyBorder="1" applyAlignment="1">
      <alignment horizontal="right" vertical="top"/>
    </xf>
    <xf numFmtId="0" fontId="8" fillId="3" borderId="5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49" fontId="0" fillId="2" borderId="15" xfId="0" applyNumberFormat="1" applyFill="1" applyBorder="1" applyAlignment="1">
      <alignment horizontal="left" vertical="top"/>
    </xf>
    <xf numFmtId="49" fontId="0" fillId="2" borderId="16" xfId="0" applyNumberFormat="1" applyFill="1" applyBorder="1" applyAlignment="1">
      <alignment horizontal="left" vertical="top"/>
    </xf>
    <xf numFmtId="0" fontId="0" fillId="3" borderId="30" xfId="0" applyFill="1" applyBorder="1" applyAlignment="1">
      <alignment horizontal="right" vertical="top"/>
    </xf>
    <xf numFmtId="0" fontId="0" fillId="3" borderId="31" xfId="0" applyFill="1" applyBorder="1" applyAlignment="1">
      <alignment horizontal="right" vertical="top"/>
    </xf>
    <xf numFmtId="0" fontId="0" fillId="0" borderId="0" xfId="0" applyFont="1" applyFill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0" fillId="0" borderId="19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11" fillId="0" borderId="0" xfId="8" applyFont="1" applyAlignment="1">
      <alignment horizontal="center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4" fillId="0" borderId="19" xfId="0" applyFont="1" applyBorder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7" fillId="0" borderId="0" xfId="0" applyFont="1" applyFill="1" applyAlignment="1">
      <alignment horizontal="center" vertical="top"/>
    </xf>
  </cellXfs>
  <cellStyles count="26">
    <cellStyle name="Comma" xfId="1" builtinId="3"/>
    <cellStyle name="Comma [0] 2" xfId="4" xr:uid="{4FC56A00-57A5-4C1C-8F7A-CD795D128AB4}"/>
    <cellStyle name="Comma [0] 2 2" xfId="16" xr:uid="{00000000-0005-0000-0000-00003D000000}"/>
    <cellStyle name="Comma [0] 3" xfId="7" xr:uid="{00000000-0005-0000-0000-000036000000}"/>
    <cellStyle name="Comma [0] 4" xfId="15" xr:uid="{00000000-0005-0000-0000-00003C000000}"/>
    <cellStyle name="Comma 10" xfId="21" xr:uid="{00000000-0005-0000-0000-000044000000}"/>
    <cellStyle name="Comma 11" xfId="23" xr:uid="{00000000-0005-0000-0000-000045000000}"/>
    <cellStyle name="Comma 12" xfId="22" xr:uid="{00000000-0005-0000-0000-000046000000}"/>
    <cellStyle name="Comma 13" xfId="19" xr:uid="{00000000-0005-0000-0000-000047000000}"/>
    <cellStyle name="Comma 2" xfId="2" xr:uid="{BACB27AA-53BF-4991-9A99-2612CA5689A9}"/>
    <cellStyle name="Comma 2 2" xfId="17" xr:uid="{00000000-0005-0000-0000-00003E000000}"/>
    <cellStyle name="Comma 3" xfId="6" xr:uid="{00000000-0005-0000-0000-000035000000}"/>
    <cellStyle name="Comma 4" xfId="9" xr:uid="{00000000-0005-0000-0000-000038000000}"/>
    <cellStyle name="Comma 5" xfId="10" xr:uid="{00000000-0005-0000-0000-000039000000}"/>
    <cellStyle name="Comma 6" xfId="11" xr:uid="{00000000-0005-0000-0000-00003A000000}"/>
    <cellStyle name="Comma 7" xfId="14" xr:uid="{00000000-0005-0000-0000-00003B000000}"/>
    <cellStyle name="Comma 8" xfId="20" xr:uid="{00000000-0005-0000-0000-000042000000}"/>
    <cellStyle name="Comma 9" xfId="24" xr:uid="{00000000-0005-0000-0000-000043000000}"/>
    <cellStyle name="Currency" xfId="12" builtinId="4"/>
    <cellStyle name="Hyperlink" xfId="25" builtinId="8"/>
    <cellStyle name="Hyperlink 2" xfId="5" xr:uid="{D602F215-497D-4B50-B1F6-F563D22BC3F4}"/>
    <cellStyle name="Normal" xfId="0" builtinId="0"/>
    <cellStyle name="Normal 2" xfId="3" xr:uid="{846DDCA9-F0A1-48B1-B7BE-74192E2E5210}"/>
    <cellStyle name="Normal 2 2" xfId="8" xr:uid="{42595D8C-BB08-418C-AF9E-C0D037ECE48D}"/>
    <cellStyle name="Normal 3" xfId="18" xr:uid="{00000000-0005-0000-0000-000040000000}"/>
    <cellStyle name="Normal 4" xfId="13" xr:uid="{00000000-0005-0000-0000-00003F000000}"/>
  </cellStyles>
  <dxfs count="4">
    <dxf>
      <fill>
        <patternFill>
          <bgColor rgb="FFFF0000"/>
        </patternFill>
      </fill>
    </dxf>
    <dxf>
      <fill>
        <patternFill>
          <bgColor theme="8" tint="0.7999816888943144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ill>
        <patternFill>
          <bgColor theme="8" tint="0.59996337778862885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ill>
        <gradientFill degree="90">
          <stop position="0">
            <color theme="3"/>
          </stop>
          <stop position="1">
            <color theme="4"/>
          </stop>
        </gradient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undip\magang\kitb\Sistem%20Manajemen%20Aset%20PT%20KITB\Foto\Karyawan\hidayat.jpg" TargetMode="External"/><Relationship Id="rId2" Type="http://schemas.openxmlformats.org/officeDocument/2006/relationships/image" Target="file:///D:\undip\magang\kitb\Sistem%20Manajemen%20Aset%20PT%20KITB\Foto\Aset\Lenovo%20ideapad%20slim%203i%2014IIL05-WRID.jpg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15790</xdr:colOff>
      <xdr:row>1</xdr:row>
      <xdr:rowOff>479773</xdr:rowOff>
    </xdr:from>
    <xdr:to>
      <xdr:col>1</xdr:col>
      <xdr:colOff>1095790</xdr:colOff>
      <xdr:row>1</xdr:row>
      <xdr:rowOff>1019773</xdr:rowOff>
    </xdr:to>
    <xdr:sp macro="[0]!LoadAsetList" textlink="">
      <xdr:nvSpPr>
        <xdr:cNvPr id="2" name="BtnRefresh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5563" y="1103228"/>
          <a:ext cx="1080000" cy="540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id-ID" sz="1400" b="1">
              <a:solidFill>
                <a:schemeClr val="bg1"/>
              </a:solidFill>
            </a:rPr>
            <a:t>Refresh</a:t>
          </a:r>
          <a:endParaRPr lang="id-ID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115989</xdr:colOff>
      <xdr:row>1</xdr:row>
      <xdr:rowOff>479773</xdr:rowOff>
    </xdr:from>
    <xdr:to>
      <xdr:col>2</xdr:col>
      <xdr:colOff>1195989</xdr:colOff>
      <xdr:row>1</xdr:row>
      <xdr:rowOff>1019773</xdr:rowOff>
    </xdr:to>
    <xdr:sp macro="[0]!HapusFilter" textlink="">
      <xdr:nvSpPr>
        <xdr:cNvPr id="3" name="BtnClear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1444" y="1103228"/>
          <a:ext cx="1080000" cy="540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id-ID" sz="1400" b="1">
              <a:solidFill>
                <a:schemeClr val="bg1"/>
              </a:solidFill>
              <a:latin typeface="+mn-lt"/>
              <a:ea typeface="+mn-ea"/>
              <a:cs typeface="+mn-cs"/>
            </a:rPr>
            <a:t>Clear</a:t>
          </a:r>
        </a:p>
      </xdr:txBody>
    </xdr:sp>
    <xdr:clientData/>
  </xdr:twoCellAnchor>
  <xdr:twoCellAnchor>
    <xdr:from>
      <xdr:col>18</xdr:col>
      <xdr:colOff>129296</xdr:colOff>
      <xdr:row>17</xdr:row>
      <xdr:rowOff>138057</xdr:rowOff>
    </xdr:from>
    <xdr:to>
      <xdr:col>18</xdr:col>
      <xdr:colOff>992149</xdr:colOff>
      <xdr:row>25</xdr:row>
      <xdr:rowOff>30029</xdr:rowOff>
    </xdr:to>
    <xdr:grpSp>
      <xdr:nvGrpSpPr>
        <xdr:cNvPr id="13" name="GrupAsetLama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21898251" y="4831284"/>
          <a:ext cx="862853" cy="1415972"/>
          <a:chOff x="17637662" y="6056597"/>
          <a:chExt cx="863654" cy="1415972"/>
        </a:xfrm>
      </xdr:grpSpPr>
      <xdr:sp macro="[0]!TambahAsetbaru" textlink="">
        <xdr:nvSpPr>
          <xdr:cNvPr id="5" name="BtnTambah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7637662" y="6056597"/>
            <a:ext cx="863654" cy="325976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id-ID" sz="11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Tambah</a:t>
            </a:r>
          </a:p>
        </xdr:txBody>
      </xdr:sp>
      <xdr:sp macro="[0]!SimpanUpdateAset" textlink="">
        <xdr:nvSpPr>
          <xdr:cNvPr id="6" name="BtnSimpan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7637662" y="6601595"/>
            <a:ext cx="863654" cy="325976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id-ID" sz="11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Update</a:t>
            </a:r>
          </a:p>
        </xdr:txBody>
      </xdr:sp>
      <xdr:sp macro="[0]!HapusAset" textlink="">
        <xdr:nvSpPr>
          <xdr:cNvPr id="7" name="BtnHapus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7637662" y="7146593"/>
            <a:ext cx="863654" cy="325976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id-ID" sz="11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Hapus</a:t>
            </a:r>
          </a:p>
        </xdr:txBody>
      </xdr:sp>
    </xdr:grpSp>
    <xdr:clientData/>
  </xdr:twoCellAnchor>
  <xdr:twoCellAnchor>
    <xdr:from>
      <xdr:col>18</xdr:col>
      <xdr:colOff>129296</xdr:colOff>
      <xdr:row>14</xdr:row>
      <xdr:rowOff>52874</xdr:rowOff>
    </xdr:from>
    <xdr:to>
      <xdr:col>18</xdr:col>
      <xdr:colOff>992148</xdr:colOff>
      <xdr:row>15</xdr:row>
      <xdr:rowOff>188350</xdr:rowOff>
    </xdr:to>
    <xdr:sp macro="[0]!CheckInAset" textlink="">
      <xdr:nvSpPr>
        <xdr:cNvPr id="22" name="BtnCheckIn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4171867" y="4611267"/>
          <a:ext cx="862852" cy="32597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id-ID" sz="800" b="1">
              <a:solidFill>
                <a:schemeClr val="bg1"/>
              </a:solidFill>
              <a:latin typeface="+mn-lt"/>
              <a:ea typeface="+mn-ea"/>
              <a:cs typeface="+mn-cs"/>
            </a:rPr>
            <a:t>Pengembalian</a:t>
          </a:r>
          <a:endParaRPr lang="id-ID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129296</xdr:colOff>
      <xdr:row>10</xdr:row>
      <xdr:rowOff>158191</xdr:rowOff>
    </xdr:from>
    <xdr:to>
      <xdr:col>18</xdr:col>
      <xdr:colOff>992148</xdr:colOff>
      <xdr:row>12</xdr:row>
      <xdr:rowOff>103167</xdr:rowOff>
    </xdr:to>
    <xdr:sp macro="[0]!CheckOutAset" textlink="">
      <xdr:nvSpPr>
        <xdr:cNvPr id="4" name="BtnCheckOut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4171867" y="3954584"/>
          <a:ext cx="862852" cy="32597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id-ID" sz="900" b="1">
              <a:solidFill>
                <a:schemeClr val="bg1"/>
              </a:solidFill>
              <a:latin typeface="+mn-lt"/>
              <a:ea typeface="+mn-ea"/>
              <a:cs typeface="+mn-cs"/>
            </a:rPr>
            <a:t>Distribusikan</a:t>
          </a:r>
        </a:p>
      </xdr:txBody>
    </xdr:sp>
    <xdr:clientData/>
  </xdr:twoCellAnchor>
  <xdr:twoCellAnchor>
    <xdr:from>
      <xdr:col>18</xdr:col>
      <xdr:colOff>129296</xdr:colOff>
      <xdr:row>4</xdr:row>
      <xdr:rowOff>170395</xdr:rowOff>
    </xdr:from>
    <xdr:to>
      <xdr:col>18</xdr:col>
      <xdr:colOff>1000929</xdr:colOff>
      <xdr:row>9</xdr:row>
      <xdr:rowOff>17984</xdr:rowOff>
    </xdr:to>
    <xdr:grpSp>
      <xdr:nvGrpSpPr>
        <xdr:cNvPr id="11" name="GrupAsetBaru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21898251" y="2387122"/>
          <a:ext cx="871633" cy="800089"/>
          <a:chOff x="17637662" y="3393687"/>
          <a:chExt cx="872434" cy="808894"/>
        </a:xfrm>
      </xdr:grpSpPr>
      <xdr:sp macro="[0]!BatalAsetBaru" textlink="">
        <xdr:nvSpPr>
          <xdr:cNvPr id="23" name="BtnbatalAsetBaru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17637662" y="3876605"/>
            <a:ext cx="863654" cy="325976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id-ID" sz="11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Batal</a:t>
            </a:r>
          </a:p>
        </xdr:txBody>
      </xdr:sp>
      <xdr:sp macro="[0]!SimpanAsetBaru" textlink="">
        <xdr:nvSpPr>
          <xdr:cNvPr id="24" name="BtnSimpanAsetBaru" hidden="1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7646442" y="3393687"/>
            <a:ext cx="863654" cy="325976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id-ID" sz="11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Simpan</a:t>
            </a:r>
          </a:p>
        </xdr:txBody>
      </xdr:sp>
    </xdr:grpSp>
    <xdr:clientData/>
  </xdr:twoCellAnchor>
  <xdr:twoCellAnchor>
    <xdr:from>
      <xdr:col>3</xdr:col>
      <xdr:colOff>1670886</xdr:colOff>
      <xdr:row>0</xdr:row>
      <xdr:rowOff>0</xdr:rowOff>
    </xdr:from>
    <xdr:to>
      <xdr:col>16</xdr:col>
      <xdr:colOff>1522763</xdr:colOff>
      <xdr:row>1</xdr:row>
      <xdr:rowOff>848588</xdr:rowOff>
    </xdr:to>
    <xdr:grpSp>
      <xdr:nvGrpSpPr>
        <xdr:cNvPr id="1060" name="Header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GrpSpPr/>
      </xdr:nvGrpSpPr>
      <xdr:grpSpPr>
        <a:xfrm>
          <a:off x="4337886" y="0"/>
          <a:ext cx="16789059" cy="1472043"/>
          <a:chOff x="2449203" y="41245"/>
          <a:chExt cx="11711750" cy="2261217"/>
        </a:xfrm>
      </xdr:grpSpPr>
      <xdr:sp macro="" textlink="">
        <xdr:nvSpPr>
          <xdr:cNvPr id="15" name="ManajemenAset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2449203" y="41245"/>
            <a:ext cx="11711750" cy="2101605"/>
          </a:xfrm>
          <a:prstGeom prst="rect">
            <a:avLst/>
          </a:prstGeom>
          <a:noFill/>
          <a:ln w="9525" cmpd="sng"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d-ID" sz="3600" b="1">
                <a:ln w="3175">
                  <a:noFill/>
                </a:ln>
                <a:solidFill>
                  <a:schemeClr val="bg1"/>
                </a:solidFill>
                <a:effectLst>
                  <a:outerShdw blurRad="60007" dist="200025" dir="15000000" sy="30000" kx="-1800000" algn="bl" rotWithShape="0">
                    <a:prstClr val="black">
                      <a:alpha val="32000"/>
                    </a:prstClr>
                  </a:outerShdw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MANAJEMEN ASET</a:t>
            </a:r>
          </a:p>
          <a:p>
            <a:pPr algn="ctr"/>
            <a:r>
              <a:rPr lang="id-ID" sz="3600" b="1">
                <a:ln w="3175">
                  <a:noFill/>
                </a:ln>
                <a:solidFill>
                  <a:schemeClr val="bg1"/>
                </a:solidFill>
                <a:effectLst>
                  <a:outerShdw blurRad="60007" dist="200025" dir="15000000" sy="30000" kx="-1800000" algn="bl" rotWithShape="0">
                    <a:prstClr val="black">
                      <a:alpha val="32000"/>
                    </a:prstClr>
                  </a:outerShdw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PT ABCDEFG</a:t>
            </a:r>
          </a:p>
        </xdr:txBody>
      </xdr:sp>
      <xdr:pic>
        <xdr:nvPicPr>
          <xdr:cNvPr id="1059" name="LogoKITB">
            <a:extLst>
              <a:ext uri="{FF2B5EF4-FFF2-40B4-BE49-F238E27FC236}">
                <a16:creationId xmlns:a16="http://schemas.microsoft.com/office/drawing/2014/main" id="{00000000-0008-0000-0100-000023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185931" y="77036"/>
            <a:ext cx="1026681" cy="222542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649683</xdr:colOff>
      <xdr:row>20</xdr:row>
      <xdr:rowOff>158750</xdr:rowOff>
    </xdr:from>
    <xdr:to>
      <xdr:col>16</xdr:col>
      <xdr:colOff>1274366</xdr:colOff>
      <xdr:row>30</xdr:row>
      <xdr:rowOff>31750</xdr:rowOff>
    </xdr:to>
    <xdr:pic>
      <xdr:nvPicPr>
        <xdr:cNvPr id="2559" name="Picture 2558">
          <a:extLst>
            <a:ext uri="{FF2B5EF4-FFF2-40B4-BE49-F238E27FC236}">
              <a16:creationId xmlns:a16="http://schemas.microsoft.com/office/drawing/2014/main" id="{E26F4271-7906-47B4-9340-7E233AA24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99608" y="5407025"/>
          <a:ext cx="1777208" cy="1778000"/>
        </a:xfrm>
        <a:prstGeom prst="rect">
          <a:avLst/>
        </a:prstGeom>
      </xdr:spPr>
    </xdr:pic>
    <xdr:clientData/>
  </xdr:twoCellAnchor>
  <xdr:twoCellAnchor>
    <xdr:from>
      <xdr:col>13</xdr:col>
      <xdr:colOff>33599</xdr:colOff>
      <xdr:row>16</xdr:row>
      <xdr:rowOff>0</xdr:rowOff>
    </xdr:from>
    <xdr:to>
      <xdr:col>13</xdr:col>
      <xdr:colOff>1176074</xdr:colOff>
      <xdr:row>24</xdr:row>
      <xdr:rowOff>0</xdr:rowOff>
    </xdr:to>
    <xdr:pic>
      <xdr:nvPicPr>
        <xdr:cNvPr id="2561" name="Picture 2560">
          <a:extLst>
            <a:ext uri="{FF2B5EF4-FFF2-40B4-BE49-F238E27FC236}">
              <a16:creationId xmlns:a16="http://schemas.microsoft.com/office/drawing/2014/main" id="{8B054C40-971E-48B5-807B-A25B19E11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6024" y="4486275"/>
          <a:ext cx="1142475" cy="152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317900</xdr:colOff>
      <xdr:row>1</xdr:row>
      <xdr:rowOff>81643</xdr:rowOff>
    </xdr:from>
    <xdr:to>
      <xdr:col>7</xdr:col>
      <xdr:colOff>304292</xdr:colOff>
      <xdr:row>7</xdr:row>
      <xdr:rowOff>149678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2440614" y="272143"/>
          <a:ext cx="1211035" cy="12110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taufiqhidaayaat@gmail.com" TargetMode="External"/><Relationship Id="rId2" Type="http://schemas.openxmlformats.org/officeDocument/2006/relationships/hyperlink" Target="mailto:taufiqh55@gmail.com" TargetMode="External"/><Relationship Id="rId1" Type="http://schemas.openxmlformats.org/officeDocument/2006/relationships/hyperlink" Target="mailto:abc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abcd@gmail.com" TargetMode="External"/><Relationship Id="rId4" Type="http://schemas.openxmlformats.org/officeDocument/2006/relationships/hyperlink" Target="mailto:abcd@gma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EC7C6-8225-44FF-B755-503AD6624FD9}">
  <sheetPr codeName="ManAset">
    <pageSetUpPr fitToPage="1"/>
  </sheetPr>
  <dimension ref="A1:Y846"/>
  <sheetViews>
    <sheetView showGridLines="0" zoomScale="55" zoomScaleNormal="55" zoomScaleSheetLayoutView="70" workbookViewId="0">
      <selection activeCell="N7" sqref="N7:N8"/>
    </sheetView>
  </sheetViews>
  <sheetFormatPr defaultColWidth="15.28515625" defaultRowHeight="15" x14ac:dyDescent="0.25"/>
  <cols>
    <col min="1" max="1" width="4" style="12" bestFit="1" customWidth="1"/>
    <col min="2" max="2" width="16.85546875" style="103" bestFit="1" customWidth="1"/>
    <col min="3" max="3" width="19.140625" style="103" bestFit="1" customWidth="1"/>
    <col min="4" max="4" width="64.85546875" style="103" bestFit="1" customWidth="1"/>
    <col min="5" max="5" width="16.7109375" style="104" bestFit="1" customWidth="1"/>
    <col min="6" max="6" width="28.140625" style="104" bestFit="1" customWidth="1"/>
    <col min="7" max="7" width="11.7109375" style="104" bestFit="1" customWidth="1"/>
    <col min="8" max="8" width="14.28515625" style="104" bestFit="1" customWidth="1"/>
    <col min="9" max="9" width="16.7109375" style="104" customWidth="1"/>
    <col min="10" max="10" width="17.5703125" style="104" bestFit="1" customWidth="1"/>
    <col min="11" max="11" width="5.28515625" style="6" customWidth="1"/>
    <col min="12" max="12" width="3.5703125" style="6" customWidth="1"/>
    <col min="13" max="13" width="15" style="6" bestFit="1" customWidth="1"/>
    <col min="14" max="14" width="33.140625" style="6" customWidth="1"/>
    <col min="15" max="15" width="9.7109375" style="6" customWidth="1"/>
    <col min="16" max="16" width="17.28515625" style="6" bestFit="1" customWidth="1"/>
    <col min="17" max="17" width="28.85546875" style="6" customWidth="1"/>
    <col min="18" max="18" width="3.7109375" style="6" customWidth="1"/>
    <col min="19" max="21" width="15.28515625" style="6"/>
    <col min="22" max="22" width="3.28515625" style="6" bestFit="1" customWidth="1"/>
    <col min="23" max="23" width="15.42578125" style="6" bestFit="1" customWidth="1"/>
    <col min="24" max="24" width="36.42578125" style="6" bestFit="1" customWidth="1"/>
    <col min="25" max="25" width="10.5703125" style="6" customWidth="1"/>
    <col min="26" max="37" width="15.28515625" style="6" customWidth="1"/>
    <col min="38" max="16384" width="15.28515625" style="6"/>
  </cols>
  <sheetData>
    <row r="1" spans="1:24" s="1" customFormat="1" ht="49.5" customHeight="1" x14ac:dyDescent="0.25">
      <c r="F1" s="124"/>
      <c r="G1" s="124"/>
      <c r="I1" s="124"/>
      <c r="M1" s="2" t="s">
        <v>22</v>
      </c>
      <c r="N1" s="2"/>
      <c r="O1" s="2"/>
      <c r="S1" s="3"/>
    </row>
    <row r="2" spans="1:24" s="4" customFormat="1" ht="92.25" customHeight="1" thickBot="1" x14ac:dyDescent="0.3">
      <c r="F2" s="125"/>
      <c r="G2" s="125"/>
      <c r="I2" s="125"/>
      <c r="M2" s="5"/>
      <c r="N2" s="5"/>
      <c r="O2" s="5"/>
    </row>
    <row r="3" spans="1:24" ht="15.75" thickBot="1" x14ac:dyDescent="0.3">
      <c r="A3" s="6"/>
      <c r="B3" s="61" t="s">
        <v>23</v>
      </c>
      <c r="C3" s="62"/>
      <c r="D3" s="154"/>
      <c r="E3" s="154"/>
      <c r="F3" s="154"/>
      <c r="G3" s="136" t="s">
        <v>46</v>
      </c>
      <c r="H3" s="63"/>
      <c r="I3" s="126" t="s">
        <v>86</v>
      </c>
      <c r="J3" s="63"/>
      <c r="K3" s="22"/>
      <c r="L3" s="163" t="s">
        <v>49</v>
      </c>
      <c r="M3" s="164"/>
      <c r="N3" s="164"/>
      <c r="O3" s="164"/>
      <c r="P3" s="164"/>
      <c r="Q3" s="164"/>
      <c r="R3" s="165"/>
      <c r="W3" s="94" t="s">
        <v>73</v>
      </c>
      <c r="X3" s="94">
        <v>1</v>
      </c>
    </row>
    <row r="4" spans="1:24" ht="15.75" thickBot="1" x14ac:dyDescent="0.3">
      <c r="A4" s="6"/>
      <c r="B4" s="61" t="s">
        <v>24</v>
      </c>
      <c r="C4" s="61" t="s">
        <v>25</v>
      </c>
      <c r="D4" s="62"/>
      <c r="E4" s="61" t="s">
        <v>7</v>
      </c>
      <c r="F4" s="137"/>
      <c r="G4" s="136" t="s">
        <v>38</v>
      </c>
      <c r="H4" s="63"/>
      <c r="I4" s="126" t="s">
        <v>87</v>
      </c>
      <c r="J4" s="64">
        <v>13</v>
      </c>
      <c r="K4" s="49"/>
      <c r="L4" s="166"/>
      <c r="M4" s="167"/>
      <c r="N4" s="167"/>
      <c r="O4" s="167"/>
      <c r="P4" s="167"/>
      <c r="Q4" s="167"/>
      <c r="R4" s="168"/>
      <c r="W4" s="94" t="s">
        <v>29</v>
      </c>
      <c r="X4" s="94">
        <f ca="1">IFERROR(MATCH(X3,AsetID,0)+3,"")</f>
        <v>4</v>
      </c>
    </row>
    <row r="5" spans="1:24" x14ac:dyDescent="0.25">
      <c r="A5" s="6"/>
      <c r="B5" s="6"/>
      <c r="C5" s="6"/>
      <c r="D5" s="6"/>
      <c r="E5" s="6"/>
      <c r="F5" s="51"/>
      <c r="G5" s="51"/>
      <c r="H5" s="51"/>
      <c r="I5" s="51"/>
      <c r="J5" s="51"/>
      <c r="K5" s="7"/>
      <c r="L5" s="17"/>
      <c r="M5" s="7"/>
      <c r="N5" s="7"/>
      <c r="O5" s="7"/>
      <c r="P5" s="7"/>
      <c r="Q5" s="7"/>
      <c r="R5" s="18"/>
      <c r="W5" s="94" t="s">
        <v>30</v>
      </c>
      <c r="X5" s="94">
        <f ca="1">IFERROR(MAX(AsetID)+1,1)</f>
        <v>14</v>
      </c>
    </row>
    <row r="6" spans="1:24" x14ac:dyDescent="0.25">
      <c r="A6" s="13"/>
      <c r="B6" s="65" t="s">
        <v>26</v>
      </c>
      <c r="C6" s="65" t="s">
        <v>46</v>
      </c>
      <c r="D6" s="65" t="s">
        <v>101</v>
      </c>
      <c r="E6" s="65" t="s">
        <v>4</v>
      </c>
      <c r="F6" s="127" t="s">
        <v>6</v>
      </c>
      <c r="G6" s="127" t="s">
        <v>7</v>
      </c>
      <c r="H6" s="127" t="s">
        <v>38</v>
      </c>
      <c r="I6" s="127" t="s">
        <v>77</v>
      </c>
      <c r="J6" s="127" t="s">
        <v>25</v>
      </c>
      <c r="L6" s="17"/>
      <c r="M6" s="14" t="s">
        <v>26</v>
      </c>
      <c r="N6" s="24" t="s">
        <v>156</v>
      </c>
      <c r="O6" s="7"/>
      <c r="P6" s="15" t="s">
        <v>73</v>
      </c>
      <c r="Q6" s="24" t="s">
        <v>9</v>
      </c>
      <c r="R6" s="18"/>
      <c r="W6" s="94" t="s">
        <v>102</v>
      </c>
      <c r="X6" s="94">
        <v>7</v>
      </c>
    </row>
    <row r="7" spans="1:24" ht="15" customHeight="1" x14ac:dyDescent="0.25">
      <c r="A7" s="12">
        <v>1</v>
      </c>
      <c r="B7" s="103" t="s">
        <v>156</v>
      </c>
      <c r="C7" s="103" t="s">
        <v>10</v>
      </c>
      <c r="D7" s="103" t="s">
        <v>11</v>
      </c>
      <c r="E7" s="104" t="s">
        <v>85</v>
      </c>
      <c r="F7" s="104" t="s">
        <v>140</v>
      </c>
      <c r="G7" s="104" t="s">
        <v>143</v>
      </c>
      <c r="H7" s="104" t="s">
        <v>172</v>
      </c>
      <c r="I7" s="104" t="s">
        <v>130</v>
      </c>
      <c r="J7" s="104" t="s">
        <v>42</v>
      </c>
      <c r="L7" s="17"/>
      <c r="M7" s="161" t="s">
        <v>27</v>
      </c>
      <c r="N7" s="159" t="s">
        <v>11</v>
      </c>
      <c r="O7" s="7"/>
      <c r="P7" s="15" t="s">
        <v>0</v>
      </c>
      <c r="Q7" s="24" t="s">
        <v>8</v>
      </c>
      <c r="R7" s="18"/>
      <c r="W7" s="94" t="s">
        <v>2</v>
      </c>
      <c r="X7" s="94" t="s">
        <v>12</v>
      </c>
    </row>
    <row r="8" spans="1:24" x14ac:dyDescent="0.25">
      <c r="A8" s="12">
        <v>2</v>
      </c>
      <c r="B8" s="103" t="s">
        <v>157</v>
      </c>
      <c r="C8" s="103" t="s">
        <v>10</v>
      </c>
      <c r="D8" s="103" t="s">
        <v>11</v>
      </c>
      <c r="E8" s="104" t="s">
        <v>85</v>
      </c>
      <c r="F8" s="104" t="s">
        <v>43</v>
      </c>
      <c r="G8" s="104" t="s">
        <v>43</v>
      </c>
      <c r="H8" s="104" t="s">
        <v>174</v>
      </c>
      <c r="I8" s="104" t="s">
        <v>130</v>
      </c>
      <c r="J8" s="104" t="s">
        <v>41</v>
      </c>
      <c r="L8" s="17"/>
      <c r="M8" s="162"/>
      <c r="N8" s="160"/>
      <c r="O8" s="7"/>
      <c r="P8" s="15" t="s">
        <v>45</v>
      </c>
      <c r="Q8" s="24" t="s">
        <v>129</v>
      </c>
      <c r="R8" s="18"/>
      <c r="W8" s="94" t="s">
        <v>47</v>
      </c>
      <c r="X8" s="94">
        <v>1</v>
      </c>
    </row>
    <row r="9" spans="1:24" x14ac:dyDescent="0.25">
      <c r="A9" s="12">
        <v>3</v>
      </c>
      <c r="B9" s="103" t="s">
        <v>158</v>
      </c>
      <c r="C9" s="103" t="s">
        <v>10</v>
      </c>
      <c r="D9" s="103" t="s">
        <v>11</v>
      </c>
      <c r="E9" s="104" t="s">
        <v>85</v>
      </c>
      <c r="F9" s="104" t="s">
        <v>147</v>
      </c>
      <c r="G9" s="104" t="s">
        <v>43</v>
      </c>
      <c r="H9" s="104" t="s">
        <v>173</v>
      </c>
      <c r="I9" s="104" t="s">
        <v>130</v>
      </c>
      <c r="J9" s="104" t="s">
        <v>42</v>
      </c>
      <c r="L9" s="17"/>
      <c r="M9" s="14" t="s">
        <v>46</v>
      </c>
      <c r="N9" s="24" t="s">
        <v>10</v>
      </c>
      <c r="O9" s="7"/>
      <c r="P9" s="15" t="s">
        <v>79</v>
      </c>
      <c r="Q9" s="24" t="s">
        <v>130</v>
      </c>
      <c r="R9" s="18"/>
      <c r="W9" s="22"/>
      <c r="X9" s="22"/>
    </row>
    <row r="10" spans="1:24" x14ac:dyDescent="0.25">
      <c r="A10" s="12">
        <v>4</v>
      </c>
      <c r="B10" s="103" t="s">
        <v>159</v>
      </c>
      <c r="C10" s="103" t="s">
        <v>10</v>
      </c>
      <c r="D10" s="103" t="s">
        <v>55</v>
      </c>
      <c r="E10" s="104" t="s">
        <v>85</v>
      </c>
      <c r="F10" s="104" t="s">
        <v>148</v>
      </c>
      <c r="G10" s="104" t="s">
        <v>83</v>
      </c>
      <c r="H10" s="104" t="s">
        <v>173</v>
      </c>
      <c r="I10" s="104" t="s">
        <v>130</v>
      </c>
      <c r="J10" s="104" t="s">
        <v>42</v>
      </c>
      <c r="L10" s="17"/>
      <c r="M10" s="7"/>
      <c r="N10" s="7"/>
      <c r="O10" s="7"/>
      <c r="P10" s="7"/>
      <c r="Q10" s="7"/>
      <c r="R10" s="18"/>
      <c r="W10" s="94" t="s">
        <v>31</v>
      </c>
      <c r="X10" s="94">
        <f ca="1">IFERROR(MATCH($N$12,NamaKaryawan,0)+4,"Nama karyawan tidak sesuai atau tidak ada")</f>
        <v>6</v>
      </c>
    </row>
    <row r="11" spans="1:24" x14ac:dyDescent="0.25">
      <c r="A11" s="12">
        <v>5</v>
      </c>
      <c r="B11" s="103" t="s">
        <v>160</v>
      </c>
      <c r="C11" s="103" t="s">
        <v>10</v>
      </c>
      <c r="D11" s="103" t="s">
        <v>55</v>
      </c>
      <c r="E11" s="104" t="s">
        <v>85</v>
      </c>
      <c r="F11" s="104" t="s">
        <v>149</v>
      </c>
      <c r="G11" s="104" t="s">
        <v>83</v>
      </c>
      <c r="H11" s="104" t="s">
        <v>174</v>
      </c>
      <c r="I11" s="104" t="s">
        <v>130</v>
      </c>
      <c r="J11" s="104" t="s">
        <v>42</v>
      </c>
      <c r="L11" s="17"/>
      <c r="M11" s="48" t="s">
        <v>120</v>
      </c>
      <c r="N11" s="147">
        <v>45175</v>
      </c>
      <c r="O11" s="7"/>
      <c r="P11" s="16" t="s">
        <v>25</v>
      </c>
      <c r="Q11" s="24" t="s">
        <v>42</v>
      </c>
      <c r="R11" s="18"/>
      <c r="W11" s="94" t="s">
        <v>32</v>
      </c>
      <c r="X11" s="94" t="str">
        <f ca="1">IFERROR(INDEX(Karyawan!J1:J99999,'Manajemen Aset'!$X$10,0),"Nama karyawan tidak sesuai atau tidak ada")</f>
        <v>hidayat.jpg</v>
      </c>
    </row>
    <row r="12" spans="1:24" x14ac:dyDescent="0.25">
      <c r="A12" s="12">
        <v>6</v>
      </c>
      <c r="B12" s="103" t="s">
        <v>161</v>
      </c>
      <c r="C12" s="103" t="s">
        <v>10</v>
      </c>
      <c r="D12" s="103" t="s">
        <v>55</v>
      </c>
      <c r="E12" s="104" t="s">
        <v>85</v>
      </c>
      <c r="F12" s="104" t="s">
        <v>149</v>
      </c>
      <c r="G12" s="104" t="s">
        <v>43</v>
      </c>
      <c r="H12" s="104" t="s">
        <v>174</v>
      </c>
      <c r="I12" s="104" t="s">
        <v>130</v>
      </c>
      <c r="J12" s="104" t="s">
        <v>42</v>
      </c>
      <c r="L12" s="17"/>
      <c r="M12" s="14" t="s">
        <v>6</v>
      </c>
      <c r="N12" s="25" t="s">
        <v>140</v>
      </c>
      <c r="O12" s="7"/>
      <c r="P12" s="16" t="s">
        <v>38</v>
      </c>
      <c r="Q12" s="25" t="s">
        <v>172</v>
      </c>
      <c r="R12" s="18"/>
      <c r="W12" s="94" t="s">
        <v>60</v>
      </c>
      <c r="X12" s="94" t="str">
        <f ca="1">IFERROR(INDEX(Karyawan!B1:B99999,'Manajemen Aset'!$X$10,0),"Nama karyawan tidak sesuai atau tidak ada")</f>
        <v>0001</v>
      </c>
    </row>
    <row r="13" spans="1:24" x14ac:dyDescent="0.25">
      <c r="A13" s="12">
        <v>7</v>
      </c>
      <c r="B13" s="103" t="s">
        <v>162</v>
      </c>
      <c r="C13" s="103" t="s">
        <v>10</v>
      </c>
      <c r="D13" s="103" t="s">
        <v>56</v>
      </c>
      <c r="E13" s="104" t="s">
        <v>85</v>
      </c>
      <c r="F13" s="104" t="s">
        <v>43</v>
      </c>
      <c r="G13" s="104" t="s">
        <v>43</v>
      </c>
      <c r="H13" s="104" t="s">
        <v>175</v>
      </c>
      <c r="I13" s="104" t="s">
        <v>130</v>
      </c>
      <c r="J13" s="104" t="s">
        <v>41</v>
      </c>
      <c r="L13" s="17"/>
      <c r="M13" s="14" t="s">
        <v>7</v>
      </c>
      <c r="N13" s="145" t="s">
        <v>143</v>
      </c>
      <c r="O13" s="7"/>
      <c r="P13" s="175" t="s">
        <v>77</v>
      </c>
      <c r="Q13" s="173" t="s">
        <v>130</v>
      </c>
      <c r="R13" s="18"/>
      <c r="W13" s="94" t="s">
        <v>33</v>
      </c>
      <c r="X13" s="94" t="str">
        <f ca="1">IFERROR(INDEX(Karyawan!G1:G99999,'Manajemen Aset'!$X$10,0),"Nama karyawan tidak sesuai atau tidak ada")</f>
        <v>taufiqhidaayaat@gmail.com</v>
      </c>
    </row>
    <row r="14" spans="1:24" x14ac:dyDescent="0.25">
      <c r="A14" s="12">
        <v>8</v>
      </c>
      <c r="B14" s="103" t="s">
        <v>163</v>
      </c>
      <c r="C14" s="103" t="s">
        <v>10</v>
      </c>
      <c r="D14" s="103" t="s">
        <v>56</v>
      </c>
      <c r="E14" s="104" t="s">
        <v>85</v>
      </c>
      <c r="F14" s="104" t="s">
        <v>43</v>
      </c>
      <c r="G14" s="104" t="s">
        <v>43</v>
      </c>
      <c r="H14" s="104" t="s">
        <v>175</v>
      </c>
      <c r="I14" s="104" t="s">
        <v>130</v>
      </c>
      <c r="J14" s="104" t="s">
        <v>41</v>
      </c>
      <c r="L14" s="17"/>
      <c r="M14" s="48" t="s">
        <v>28</v>
      </c>
      <c r="N14" s="147">
        <v>45175</v>
      </c>
      <c r="O14" s="50"/>
      <c r="P14" s="176"/>
      <c r="Q14" s="174"/>
      <c r="R14" s="18"/>
      <c r="W14" s="94" t="s">
        <v>34</v>
      </c>
      <c r="X14" s="94" t="str">
        <f ca="1">IFERROR(INDEX(Karyawan!I1:I99999,'Manajemen Aset'!$X$10,0),"Nama karyawan tidak sesuai atau tidak ada")</f>
        <v>08123456789</v>
      </c>
    </row>
    <row r="15" spans="1:24" x14ac:dyDescent="0.25">
      <c r="A15" s="12">
        <v>9</v>
      </c>
      <c r="B15" s="103" t="s">
        <v>164</v>
      </c>
      <c r="C15" s="103" t="s">
        <v>10</v>
      </c>
      <c r="D15" s="103" t="s">
        <v>155</v>
      </c>
      <c r="E15" s="104" t="s">
        <v>85</v>
      </c>
      <c r="F15" s="104" t="s">
        <v>150</v>
      </c>
      <c r="G15" s="104" t="s">
        <v>43</v>
      </c>
      <c r="H15" s="104" t="s">
        <v>176</v>
      </c>
      <c r="I15" s="104" t="s">
        <v>130</v>
      </c>
      <c r="J15" s="104" t="s">
        <v>42</v>
      </c>
      <c r="L15" s="17"/>
      <c r="M15" s="10"/>
      <c r="N15" s="22"/>
      <c r="O15" s="7"/>
      <c r="P15" s="16" t="s">
        <v>35</v>
      </c>
      <c r="Q15" s="25" t="s">
        <v>40</v>
      </c>
      <c r="R15" s="18"/>
      <c r="W15" s="95" t="s">
        <v>105</v>
      </c>
      <c r="X15" s="94" t="str">
        <f ca="1">IFERROR(INDEX(Karyawan!E1:E99999,'Manajemen Aset'!$X$10,0),"Nama karyawan tidak sesuai atau tidak ada")</f>
        <v>Direktur Utama</v>
      </c>
    </row>
    <row r="16" spans="1:24" x14ac:dyDescent="0.25">
      <c r="A16" s="12">
        <v>10</v>
      </c>
      <c r="B16" s="103" t="s">
        <v>165</v>
      </c>
      <c r="C16" s="103" t="s">
        <v>145</v>
      </c>
      <c r="D16" s="103" t="s">
        <v>57</v>
      </c>
      <c r="E16" s="104" t="s">
        <v>85</v>
      </c>
      <c r="F16" s="104" t="s">
        <v>43</v>
      </c>
      <c r="G16" s="104" t="s">
        <v>43</v>
      </c>
      <c r="H16" s="104" t="s">
        <v>176</v>
      </c>
      <c r="I16" s="104" t="s">
        <v>130</v>
      </c>
      <c r="J16" s="104" t="s">
        <v>41</v>
      </c>
      <c r="L16" s="17"/>
      <c r="M16" s="10"/>
      <c r="N16" s="23"/>
      <c r="O16" s="7"/>
      <c r="P16" s="34" t="s">
        <v>4</v>
      </c>
      <c r="Q16" s="24" t="s">
        <v>85</v>
      </c>
      <c r="R16" s="18"/>
      <c r="W16" s="6" t="s">
        <v>7</v>
      </c>
      <c r="X16" s="6" t="str">
        <f ca="1">IFERROR(INDEX(Karyawan!F1:F99999,'Manajemen Aset'!$X$10,0),"Nama karyawan tidak sesuai atau tidak ada")</f>
        <v>Direksi</v>
      </c>
    </row>
    <row r="17" spans="1:25" x14ac:dyDescent="0.25">
      <c r="A17" s="12">
        <v>11</v>
      </c>
      <c r="B17" s="103" t="s">
        <v>166</v>
      </c>
      <c r="C17" s="103" t="s">
        <v>145</v>
      </c>
      <c r="D17" s="103" t="s">
        <v>57</v>
      </c>
      <c r="E17" s="104" t="s">
        <v>85</v>
      </c>
      <c r="F17" s="104" t="s">
        <v>150</v>
      </c>
      <c r="G17" s="104" t="s">
        <v>154</v>
      </c>
      <c r="H17" s="104" t="s">
        <v>174</v>
      </c>
      <c r="I17" s="104" t="s">
        <v>130</v>
      </c>
      <c r="J17" s="104" t="s">
        <v>42</v>
      </c>
      <c r="L17" s="17"/>
      <c r="M17" s="10"/>
      <c r="N17" s="22"/>
      <c r="O17" s="7"/>
      <c r="P17" s="7"/>
      <c r="Q17" s="7"/>
      <c r="R17" s="18"/>
      <c r="W17" s="6" t="s">
        <v>132</v>
      </c>
      <c r="X17" s="6" t="s">
        <v>140</v>
      </c>
    </row>
    <row r="18" spans="1:25" x14ac:dyDescent="0.25">
      <c r="A18" s="12">
        <v>12</v>
      </c>
      <c r="B18" s="103" t="s">
        <v>167</v>
      </c>
      <c r="C18" s="103" t="s">
        <v>58</v>
      </c>
      <c r="D18" s="103" t="s">
        <v>84</v>
      </c>
      <c r="E18" s="104" t="s">
        <v>85</v>
      </c>
      <c r="F18" s="104" t="s">
        <v>151</v>
      </c>
      <c r="G18" s="104" t="s">
        <v>44</v>
      </c>
      <c r="H18" s="104" t="s">
        <v>175</v>
      </c>
      <c r="I18" s="104" t="s">
        <v>130</v>
      </c>
      <c r="J18" s="104" t="s">
        <v>42</v>
      </c>
      <c r="L18" s="17"/>
      <c r="M18" s="7"/>
      <c r="N18" s="7"/>
      <c r="O18" s="9"/>
      <c r="P18" s="10"/>
      <c r="Q18" s="22"/>
      <c r="R18" s="18"/>
      <c r="W18" s="6" t="s">
        <v>106</v>
      </c>
      <c r="X18" s="6" t="str">
        <f ca="1">IFERROR(INDEX(Karyawan!H1:H99999,'Manajemen Aset'!$X$10,0),"Nama karyawan tidak sesuai atau tidak ada")</f>
        <v>Semarang</v>
      </c>
    </row>
    <row r="19" spans="1:25" x14ac:dyDescent="0.25">
      <c r="A19" s="12">
        <v>13</v>
      </c>
      <c r="B19" s="103" t="s">
        <v>168</v>
      </c>
      <c r="C19" s="103" t="s">
        <v>58</v>
      </c>
      <c r="D19" s="103" t="s">
        <v>59</v>
      </c>
      <c r="E19" s="104" t="s">
        <v>85</v>
      </c>
      <c r="F19" s="104" t="s">
        <v>152</v>
      </c>
      <c r="G19" s="104" t="s">
        <v>44</v>
      </c>
      <c r="H19" s="104" t="s">
        <v>176</v>
      </c>
      <c r="I19" s="104" t="s">
        <v>130</v>
      </c>
      <c r="J19" s="104" t="s">
        <v>42</v>
      </c>
      <c r="L19" s="17"/>
      <c r="M19" s="7"/>
      <c r="N19" s="7"/>
      <c r="O19" s="7"/>
      <c r="P19" s="169" t="s">
        <v>65</v>
      </c>
      <c r="Q19" s="170"/>
      <c r="R19" s="18"/>
      <c r="Y19" s="51"/>
    </row>
    <row r="20" spans="1:25" x14ac:dyDescent="0.25">
      <c r="L20" s="17"/>
      <c r="M20" s="7"/>
      <c r="N20" s="7"/>
      <c r="O20" s="7"/>
      <c r="P20" s="171"/>
      <c r="Q20" s="172"/>
      <c r="R20" s="18"/>
    </row>
    <row r="21" spans="1:25" x14ac:dyDescent="0.25">
      <c r="L21" s="17"/>
      <c r="M21" s="7"/>
      <c r="N21" s="7"/>
      <c r="O21" s="7"/>
      <c r="P21" s="98"/>
      <c r="Q21" s="99"/>
      <c r="R21" s="18"/>
    </row>
    <row r="22" spans="1:25" x14ac:dyDescent="0.25">
      <c r="L22" s="17"/>
      <c r="M22" s="11"/>
      <c r="N22" s="7"/>
      <c r="O22" s="7"/>
      <c r="P22" s="98"/>
      <c r="Q22" s="99"/>
      <c r="R22" s="18"/>
    </row>
    <row r="23" spans="1:25" x14ac:dyDescent="0.25">
      <c r="L23" s="17"/>
      <c r="M23" s="10"/>
      <c r="N23" s="22"/>
      <c r="O23" s="7"/>
      <c r="P23" s="98"/>
      <c r="Q23" s="99"/>
      <c r="R23" s="18"/>
    </row>
    <row r="24" spans="1:25" x14ac:dyDescent="0.25">
      <c r="L24" s="17"/>
      <c r="M24" s="10"/>
      <c r="N24" s="22"/>
      <c r="O24" s="7"/>
      <c r="P24" s="98"/>
      <c r="Q24" s="99"/>
      <c r="R24" s="18"/>
    </row>
    <row r="25" spans="1:25" x14ac:dyDescent="0.25">
      <c r="L25" s="17"/>
      <c r="M25" s="10"/>
      <c r="N25" s="22"/>
      <c r="O25" s="7"/>
      <c r="P25" s="98"/>
      <c r="Q25" s="99"/>
      <c r="R25" s="18"/>
    </row>
    <row r="26" spans="1:25" x14ac:dyDescent="0.25">
      <c r="L26" s="17"/>
      <c r="M26" s="155" t="s">
        <v>61</v>
      </c>
      <c r="N26" s="156"/>
      <c r="O26" s="7"/>
      <c r="P26" s="98"/>
      <c r="Q26" s="99"/>
      <c r="R26" s="18"/>
    </row>
    <row r="27" spans="1:25" x14ac:dyDescent="0.25">
      <c r="L27" s="17"/>
      <c r="M27" s="157"/>
      <c r="N27" s="158"/>
      <c r="O27" s="7"/>
      <c r="P27" s="98"/>
      <c r="Q27" s="99"/>
      <c r="R27" s="18"/>
    </row>
    <row r="28" spans="1:25" x14ac:dyDescent="0.25">
      <c r="L28" s="17"/>
      <c r="M28" s="31" t="s">
        <v>48</v>
      </c>
      <c r="N28" s="90" t="str">
        <f>N12</f>
        <v>Taufiq Hidayat</v>
      </c>
      <c r="O28" s="7"/>
      <c r="P28" s="98"/>
      <c r="Q28" s="99"/>
      <c r="R28" s="18"/>
    </row>
    <row r="29" spans="1:25" x14ac:dyDescent="0.25">
      <c r="L29" s="17"/>
      <c r="M29" s="31" t="s">
        <v>7</v>
      </c>
      <c r="N29" s="146" t="str">
        <f ca="1">$X$16</f>
        <v>Direksi</v>
      </c>
      <c r="O29" s="7"/>
      <c r="P29" s="98"/>
      <c r="Q29" s="99"/>
      <c r="R29" s="18"/>
    </row>
    <row r="30" spans="1:25" x14ac:dyDescent="0.25">
      <c r="L30" s="17"/>
      <c r="M30" s="31" t="s">
        <v>105</v>
      </c>
      <c r="N30" s="35" t="str">
        <f ca="1">$X$15</f>
        <v>Direktur Utama</v>
      </c>
      <c r="O30" s="7"/>
      <c r="P30" s="98"/>
      <c r="Q30" s="99"/>
      <c r="R30" s="18"/>
    </row>
    <row r="31" spans="1:25" x14ac:dyDescent="0.25">
      <c r="L31" s="17"/>
      <c r="M31" s="31" t="s">
        <v>60</v>
      </c>
      <c r="N31" s="29" t="str">
        <f ca="1">$X$12</f>
        <v>0001</v>
      </c>
      <c r="O31" s="7"/>
      <c r="P31" s="98"/>
      <c r="Q31" s="99"/>
      <c r="R31" s="18"/>
    </row>
    <row r="32" spans="1:25" ht="30" x14ac:dyDescent="0.25">
      <c r="L32" s="17"/>
      <c r="M32" s="31" t="s">
        <v>33</v>
      </c>
      <c r="N32" s="29" t="str">
        <f ca="1">$X$13</f>
        <v>taufiqhidaayaat@gmail.com</v>
      </c>
      <c r="O32" s="7"/>
      <c r="P32" s="31" t="s">
        <v>74</v>
      </c>
      <c r="Q32" s="100" t="s">
        <v>122</v>
      </c>
      <c r="R32" s="18"/>
    </row>
    <row r="33" spans="12:18" x14ac:dyDescent="0.25">
      <c r="L33" s="19"/>
      <c r="M33" s="31" t="s">
        <v>34</v>
      </c>
      <c r="N33" s="30" t="str">
        <f ca="1">$X$14</f>
        <v>08123456789</v>
      </c>
      <c r="O33" s="20"/>
      <c r="P33" s="20"/>
      <c r="Q33" s="20"/>
      <c r="R33" s="21"/>
    </row>
    <row r="34" spans="12:18" x14ac:dyDescent="0.25">
      <c r="M34" s="10"/>
      <c r="N34" s="22"/>
    </row>
    <row r="35" spans="12:18" x14ac:dyDescent="0.25">
      <c r="M35" s="7"/>
      <c r="N35" s="7"/>
    </row>
    <row r="36" spans="12:18" x14ac:dyDescent="0.25">
      <c r="N36" s="26"/>
      <c r="O36" s="7"/>
    </row>
    <row r="37" spans="12:18" x14ac:dyDescent="0.25">
      <c r="O37" s="7"/>
    </row>
    <row r="38" spans="12:18" x14ac:dyDescent="0.25">
      <c r="O38" s="7"/>
      <c r="P38" s="7"/>
      <c r="Q38" s="7"/>
    </row>
    <row r="39" spans="12:18" x14ac:dyDescent="0.25">
      <c r="O39" s="7"/>
      <c r="P39" s="7"/>
      <c r="Q39" s="7"/>
    </row>
    <row r="40" spans="12:18" x14ac:dyDescent="0.25">
      <c r="M40" s="7"/>
      <c r="N40" s="7"/>
      <c r="O40" s="7"/>
      <c r="P40" s="7"/>
      <c r="Q40" s="7"/>
    </row>
    <row r="41" spans="12:18" x14ac:dyDescent="0.25">
      <c r="M41" s="7"/>
      <c r="N41" s="28"/>
      <c r="O41" s="7"/>
      <c r="P41" s="7"/>
      <c r="Q41" s="7"/>
    </row>
    <row r="42" spans="12:18" x14ac:dyDescent="0.25">
      <c r="M42" s="7"/>
      <c r="N42" s="7"/>
      <c r="O42" s="7"/>
      <c r="P42" s="7"/>
      <c r="Q42" s="7"/>
    </row>
    <row r="43" spans="12:18" x14ac:dyDescent="0.25">
      <c r="M43" s="7"/>
      <c r="N43" s="7"/>
      <c r="O43" s="7"/>
      <c r="P43" s="7"/>
      <c r="Q43" s="7"/>
    </row>
    <row r="44" spans="12:18" x14ac:dyDescent="0.25">
      <c r="M44" s="7"/>
      <c r="N44" s="7"/>
      <c r="O44" s="8"/>
      <c r="P44" s="7"/>
      <c r="Q44" s="7"/>
    </row>
    <row r="45" spans="12:18" x14ac:dyDescent="0.25">
      <c r="M45" s="7"/>
      <c r="N45" s="7"/>
      <c r="O45" s="7"/>
      <c r="P45" s="7"/>
      <c r="Q45" s="7"/>
    </row>
    <row r="46" spans="12:18" x14ac:dyDescent="0.25">
      <c r="N46" s="7"/>
      <c r="O46" s="7"/>
      <c r="P46" s="7"/>
      <c r="Q46" s="7"/>
    </row>
    <row r="47" spans="12:18" x14ac:dyDescent="0.25">
      <c r="N47" s="8"/>
      <c r="O47" s="7"/>
      <c r="P47" s="7"/>
      <c r="Q47" s="7"/>
    </row>
    <row r="48" spans="12:18" x14ac:dyDescent="0.25">
      <c r="N48" s="7"/>
      <c r="O48" s="7"/>
      <c r="P48" s="7"/>
      <c r="Q48" s="7"/>
    </row>
    <row r="49" spans="14:17" x14ac:dyDescent="0.25">
      <c r="N49" s="7"/>
      <c r="O49" s="7"/>
      <c r="P49" s="7"/>
      <c r="Q49" s="7"/>
    </row>
    <row r="50" spans="14:17" x14ac:dyDescent="0.25">
      <c r="N50" s="7"/>
      <c r="O50" s="7"/>
      <c r="P50" s="7"/>
      <c r="Q50" s="7"/>
    </row>
    <row r="51" spans="14:17" x14ac:dyDescent="0.25">
      <c r="N51" s="7"/>
    </row>
    <row r="52" spans="14:17" x14ac:dyDescent="0.25">
      <c r="N52" s="7"/>
    </row>
    <row r="53" spans="14:17" x14ac:dyDescent="0.25">
      <c r="N53" s="7"/>
    </row>
    <row r="100" spans="5:19" x14ac:dyDescent="0.25">
      <c r="E100" s="103"/>
      <c r="K100" s="12"/>
      <c r="L100" s="12"/>
      <c r="O100" s="12"/>
      <c r="P100" s="12"/>
      <c r="Q100" s="12"/>
      <c r="R100" s="12"/>
      <c r="S100" s="12"/>
    </row>
    <row r="101" spans="5:19" x14ac:dyDescent="0.25">
      <c r="E101" s="103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5:19" x14ac:dyDescent="0.25">
      <c r="E102" s="103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5:19" x14ac:dyDescent="0.25">
      <c r="E103" s="103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5:19" x14ac:dyDescent="0.25">
      <c r="E104" s="103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5:19" x14ac:dyDescent="0.25">
      <c r="E105" s="103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5:19" x14ac:dyDescent="0.25">
      <c r="E106" s="103"/>
      <c r="K106" s="12"/>
      <c r="L106" s="12"/>
      <c r="M106" s="12"/>
      <c r="N106" s="12"/>
      <c r="O106" s="12"/>
      <c r="P106" s="12"/>
      <c r="Q106" s="12"/>
      <c r="R106" s="12"/>
      <c r="S106" s="12"/>
    </row>
    <row r="107" spans="5:19" x14ac:dyDescent="0.25">
      <c r="E107" s="103"/>
      <c r="K107" s="12"/>
      <c r="L107" s="12"/>
      <c r="M107" s="12"/>
      <c r="N107" s="12"/>
      <c r="O107" s="12"/>
      <c r="P107" s="12"/>
      <c r="Q107" s="12"/>
      <c r="R107" s="12"/>
      <c r="S107" s="12"/>
    </row>
    <row r="108" spans="5:19" x14ac:dyDescent="0.25">
      <c r="E108" s="103"/>
      <c r="K108" s="12"/>
      <c r="L108" s="12"/>
      <c r="M108" s="12"/>
      <c r="N108" s="12"/>
      <c r="O108" s="12"/>
      <c r="P108" s="12"/>
      <c r="Q108" s="12"/>
      <c r="R108" s="12"/>
      <c r="S108" s="12"/>
    </row>
    <row r="109" spans="5:19" x14ac:dyDescent="0.25">
      <c r="E109" s="103"/>
      <c r="K109" s="12"/>
      <c r="L109" s="12"/>
      <c r="M109" s="12"/>
      <c r="N109" s="12"/>
      <c r="O109" s="12"/>
      <c r="P109" s="12"/>
      <c r="Q109" s="12"/>
      <c r="R109" s="12"/>
      <c r="S109" s="12"/>
    </row>
    <row r="110" spans="5:19" x14ac:dyDescent="0.25">
      <c r="E110" s="103"/>
      <c r="K110" s="12"/>
      <c r="L110" s="12"/>
      <c r="M110" s="12"/>
      <c r="N110" s="12"/>
      <c r="O110" s="12"/>
      <c r="P110" s="12"/>
      <c r="Q110" s="12"/>
      <c r="R110" s="12"/>
      <c r="S110" s="12"/>
    </row>
    <row r="111" spans="5:19" x14ac:dyDescent="0.25">
      <c r="E111" s="103"/>
      <c r="K111" s="12"/>
      <c r="L111" s="12"/>
      <c r="M111" s="12"/>
      <c r="N111" s="12"/>
      <c r="O111" s="12"/>
      <c r="P111" s="12"/>
      <c r="Q111" s="12"/>
      <c r="R111" s="12"/>
      <c r="S111" s="12"/>
    </row>
    <row r="112" spans="5:19" x14ac:dyDescent="0.25">
      <c r="E112" s="103"/>
      <c r="K112" s="12"/>
      <c r="L112" s="12"/>
      <c r="M112" s="12"/>
      <c r="N112" s="12"/>
      <c r="O112" s="12"/>
      <c r="P112" s="12"/>
      <c r="Q112" s="12"/>
      <c r="R112" s="12"/>
      <c r="S112" s="12"/>
    </row>
    <row r="113" spans="5:19" x14ac:dyDescent="0.25">
      <c r="E113" s="103"/>
      <c r="K113" s="12"/>
      <c r="L113" s="12"/>
      <c r="M113" s="12"/>
      <c r="N113" s="12"/>
      <c r="O113" s="12"/>
      <c r="P113" s="12"/>
      <c r="Q113" s="12"/>
      <c r="R113" s="12"/>
      <c r="S113" s="12"/>
    </row>
    <row r="114" spans="5:19" x14ac:dyDescent="0.25">
      <c r="E114" s="103"/>
      <c r="K114" s="12"/>
      <c r="L114" s="12"/>
      <c r="M114" s="12"/>
      <c r="N114" s="12"/>
      <c r="O114" s="12"/>
      <c r="P114" s="12"/>
      <c r="Q114" s="12"/>
      <c r="R114" s="12"/>
      <c r="S114" s="12"/>
    </row>
    <row r="115" spans="5:19" x14ac:dyDescent="0.25">
      <c r="E115" s="103"/>
      <c r="K115" s="12"/>
      <c r="L115" s="12"/>
      <c r="M115" s="12"/>
      <c r="N115" s="12"/>
      <c r="O115" s="12"/>
      <c r="P115" s="12"/>
      <c r="Q115" s="12"/>
      <c r="R115" s="12"/>
      <c r="S115" s="12"/>
    </row>
    <row r="116" spans="5:19" x14ac:dyDescent="0.25">
      <c r="E116" s="103"/>
      <c r="K116" s="12"/>
      <c r="L116" s="12"/>
      <c r="M116" s="12"/>
      <c r="N116" s="12"/>
      <c r="O116" s="12"/>
      <c r="P116" s="12"/>
      <c r="Q116" s="12"/>
      <c r="R116" s="12"/>
      <c r="S116" s="12"/>
    </row>
    <row r="117" spans="5:19" x14ac:dyDescent="0.25">
      <c r="E117" s="103"/>
      <c r="K117" s="12"/>
      <c r="L117" s="12"/>
      <c r="M117" s="12"/>
      <c r="N117" s="12"/>
      <c r="O117" s="12"/>
      <c r="P117" s="12"/>
      <c r="Q117" s="12"/>
      <c r="R117" s="12"/>
      <c r="S117" s="12"/>
    </row>
    <row r="118" spans="5:19" x14ac:dyDescent="0.25">
      <c r="E118" s="103"/>
      <c r="K118" s="12"/>
      <c r="L118" s="12"/>
      <c r="M118" s="12"/>
      <c r="N118" s="12"/>
      <c r="O118" s="12"/>
      <c r="P118" s="12"/>
      <c r="Q118" s="12"/>
      <c r="R118" s="12"/>
      <c r="S118" s="12"/>
    </row>
    <row r="119" spans="5:19" x14ac:dyDescent="0.25">
      <c r="E119" s="103"/>
      <c r="K119" s="12"/>
      <c r="L119" s="12"/>
      <c r="M119" s="12"/>
      <c r="N119" s="12"/>
      <c r="O119" s="12"/>
      <c r="P119" s="12"/>
      <c r="Q119" s="12"/>
      <c r="R119" s="12"/>
      <c r="S119" s="12"/>
    </row>
    <row r="120" spans="5:19" x14ac:dyDescent="0.25">
      <c r="E120" s="103"/>
      <c r="K120" s="12"/>
      <c r="L120" s="12"/>
      <c r="M120" s="12"/>
      <c r="N120" s="12"/>
      <c r="O120" s="12"/>
      <c r="P120" s="12"/>
      <c r="Q120" s="12"/>
      <c r="R120" s="12"/>
      <c r="S120" s="12"/>
    </row>
    <row r="121" spans="5:19" x14ac:dyDescent="0.25">
      <c r="E121" s="103"/>
      <c r="K121" s="12"/>
      <c r="L121" s="12"/>
      <c r="M121" s="12"/>
      <c r="N121" s="12"/>
      <c r="O121" s="12"/>
      <c r="P121" s="12"/>
      <c r="Q121" s="12"/>
      <c r="R121" s="12"/>
      <c r="S121" s="12"/>
    </row>
    <row r="122" spans="5:19" x14ac:dyDescent="0.25">
      <c r="E122" s="103"/>
      <c r="K122" s="12"/>
      <c r="L122" s="12"/>
      <c r="M122" s="12"/>
      <c r="N122" s="12"/>
      <c r="O122" s="12"/>
      <c r="P122" s="12"/>
      <c r="Q122" s="12"/>
      <c r="R122" s="12"/>
      <c r="S122" s="12"/>
    </row>
    <row r="123" spans="5:19" x14ac:dyDescent="0.25">
      <c r="E123" s="103"/>
      <c r="K123" s="12"/>
      <c r="L123" s="12"/>
      <c r="M123" s="12"/>
      <c r="N123" s="12"/>
      <c r="O123" s="12"/>
      <c r="P123" s="12"/>
      <c r="Q123" s="12"/>
      <c r="R123" s="12"/>
      <c r="S123" s="12"/>
    </row>
    <row r="124" spans="5:19" x14ac:dyDescent="0.25">
      <c r="E124" s="103"/>
      <c r="K124" s="12"/>
      <c r="L124" s="12"/>
      <c r="M124" s="12"/>
      <c r="N124" s="12"/>
      <c r="O124" s="12"/>
      <c r="P124" s="12"/>
      <c r="Q124" s="12"/>
      <c r="R124" s="12"/>
      <c r="S124" s="12"/>
    </row>
    <row r="125" spans="5:19" x14ac:dyDescent="0.25">
      <c r="E125" s="103"/>
      <c r="K125" s="12"/>
      <c r="L125" s="12"/>
      <c r="M125" s="12"/>
      <c r="N125" s="12"/>
      <c r="O125" s="12"/>
      <c r="P125" s="12"/>
      <c r="Q125" s="12"/>
      <c r="R125" s="12"/>
      <c r="S125" s="12"/>
    </row>
    <row r="126" spans="5:19" x14ac:dyDescent="0.25">
      <c r="E126" s="103"/>
      <c r="K126" s="12"/>
      <c r="L126" s="12"/>
      <c r="M126" s="12"/>
      <c r="N126" s="12"/>
      <c r="O126" s="12"/>
      <c r="P126" s="12"/>
      <c r="Q126" s="12"/>
      <c r="R126" s="12"/>
      <c r="S126" s="12"/>
    </row>
    <row r="127" spans="5:19" x14ac:dyDescent="0.25">
      <c r="E127" s="103"/>
      <c r="K127" s="12"/>
      <c r="L127" s="12"/>
      <c r="M127" s="12"/>
      <c r="N127" s="12"/>
      <c r="O127" s="12"/>
      <c r="P127" s="12"/>
      <c r="Q127" s="12"/>
      <c r="R127" s="12"/>
      <c r="S127" s="12"/>
    </row>
    <row r="128" spans="5:19" x14ac:dyDescent="0.25">
      <c r="E128" s="103"/>
      <c r="K128" s="12"/>
      <c r="L128" s="12"/>
      <c r="M128" s="12"/>
      <c r="N128" s="12"/>
      <c r="O128" s="12"/>
      <c r="P128" s="12"/>
      <c r="Q128" s="12"/>
      <c r="R128" s="12"/>
      <c r="S128" s="12"/>
    </row>
    <row r="129" spans="5:19" x14ac:dyDescent="0.25">
      <c r="E129" s="103"/>
      <c r="K129" s="12"/>
      <c r="L129" s="12"/>
      <c r="M129" s="12"/>
      <c r="N129" s="12"/>
      <c r="O129" s="12"/>
      <c r="P129" s="12"/>
      <c r="Q129" s="12"/>
      <c r="R129" s="12"/>
      <c r="S129" s="12"/>
    </row>
    <row r="130" spans="5:19" x14ac:dyDescent="0.25">
      <c r="E130" s="103"/>
      <c r="K130" s="12"/>
      <c r="L130" s="12"/>
      <c r="M130" s="12"/>
      <c r="N130" s="12"/>
      <c r="O130" s="12"/>
      <c r="P130" s="12"/>
      <c r="Q130" s="12"/>
      <c r="R130" s="12"/>
      <c r="S130" s="12"/>
    </row>
    <row r="131" spans="5:19" x14ac:dyDescent="0.25">
      <c r="E131" s="103"/>
      <c r="K131" s="12"/>
      <c r="L131" s="12"/>
      <c r="M131" s="12"/>
      <c r="N131" s="12"/>
      <c r="O131" s="12"/>
      <c r="P131" s="12"/>
      <c r="Q131" s="12"/>
      <c r="R131" s="12"/>
      <c r="S131" s="12"/>
    </row>
    <row r="132" spans="5:19" x14ac:dyDescent="0.25">
      <c r="E132" s="103"/>
      <c r="K132" s="12"/>
      <c r="L132" s="12"/>
      <c r="M132" s="12"/>
      <c r="N132" s="12"/>
      <c r="O132" s="12"/>
      <c r="P132" s="12"/>
      <c r="Q132" s="12"/>
      <c r="R132" s="12"/>
      <c r="S132" s="12"/>
    </row>
    <row r="133" spans="5:19" x14ac:dyDescent="0.25">
      <c r="E133" s="103"/>
      <c r="K133" s="12"/>
      <c r="L133" s="12"/>
      <c r="M133" s="12"/>
      <c r="N133" s="12"/>
      <c r="O133" s="12"/>
      <c r="P133" s="12"/>
      <c r="Q133" s="12"/>
      <c r="R133" s="12"/>
      <c r="S133" s="12"/>
    </row>
    <row r="134" spans="5:19" x14ac:dyDescent="0.25">
      <c r="E134" s="103"/>
      <c r="K134" s="12"/>
      <c r="L134" s="12"/>
      <c r="M134" s="12"/>
      <c r="N134" s="12"/>
      <c r="O134" s="12"/>
      <c r="P134" s="12"/>
      <c r="Q134" s="12"/>
      <c r="R134" s="12"/>
      <c r="S134" s="12"/>
    </row>
    <row r="135" spans="5:19" x14ac:dyDescent="0.25">
      <c r="E135" s="103"/>
      <c r="K135" s="12"/>
      <c r="L135" s="12"/>
      <c r="M135" s="12"/>
      <c r="N135" s="12"/>
      <c r="O135" s="12"/>
      <c r="P135" s="12"/>
      <c r="Q135" s="12"/>
      <c r="R135" s="12"/>
      <c r="S135" s="12"/>
    </row>
    <row r="136" spans="5:19" x14ac:dyDescent="0.25">
      <c r="E136" s="103"/>
      <c r="K136" s="12"/>
      <c r="L136" s="12"/>
      <c r="M136" s="12"/>
      <c r="N136" s="12"/>
      <c r="O136" s="12"/>
      <c r="P136" s="12"/>
      <c r="Q136" s="12"/>
      <c r="R136" s="12"/>
      <c r="S136" s="12"/>
    </row>
    <row r="137" spans="5:19" x14ac:dyDescent="0.25">
      <c r="E137" s="103"/>
      <c r="K137" s="12"/>
      <c r="L137" s="12"/>
      <c r="M137" s="12"/>
      <c r="N137" s="12"/>
      <c r="O137" s="12"/>
      <c r="P137" s="12"/>
      <c r="Q137" s="12"/>
      <c r="R137" s="12"/>
      <c r="S137" s="12"/>
    </row>
    <row r="138" spans="5:19" x14ac:dyDescent="0.25">
      <c r="E138" s="103"/>
      <c r="K138" s="12"/>
      <c r="L138" s="12"/>
      <c r="M138" s="12"/>
      <c r="N138" s="12"/>
      <c r="O138" s="12"/>
      <c r="P138" s="12"/>
      <c r="Q138" s="12"/>
      <c r="R138" s="12"/>
      <c r="S138" s="12"/>
    </row>
    <row r="139" spans="5:19" x14ac:dyDescent="0.25">
      <c r="E139" s="103"/>
      <c r="K139" s="12"/>
      <c r="L139" s="12"/>
      <c r="M139" s="12"/>
      <c r="N139" s="12"/>
      <c r="O139" s="12"/>
      <c r="P139" s="12"/>
      <c r="Q139" s="12"/>
      <c r="R139" s="12"/>
      <c r="S139" s="12"/>
    </row>
    <row r="140" spans="5:19" x14ac:dyDescent="0.25">
      <c r="E140" s="103"/>
      <c r="K140" s="12"/>
      <c r="L140" s="12"/>
      <c r="M140" s="12"/>
      <c r="N140" s="12"/>
      <c r="O140" s="12"/>
      <c r="P140" s="12"/>
      <c r="Q140" s="12"/>
      <c r="R140" s="12"/>
      <c r="S140" s="12"/>
    </row>
    <row r="141" spans="5:19" x14ac:dyDescent="0.25">
      <c r="E141" s="103"/>
      <c r="K141" s="12"/>
      <c r="L141" s="12"/>
      <c r="M141" s="12"/>
      <c r="N141" s="12"/>
      <c r="O141" s="12"/>
      <c r="P141" s="12"/>
      <c r="Q141" s="12"/>
      <c r="R141" s="12"/>
      <c r="S141" s="12"/>
    </row>
    <row r="142" spans="5:19" x14ac:dyDescent="0.25">
      <c r="E142" s="103"/>
      <c r="K142" s="12"/>
      <c r="L142" s="12"/>
      <c r="M142" s="12"/>
      <c r="N142" s="12"/>
      <c r="O142" s="12"/>
      <c r="P142" s="12"/>
      <c r="Q142" s="12"/>
      <c r="R142" s="12"/>
      <c r="S142" s="12"/>
    </row>
    <row r="143" spans="5:19" x14ac:dyDescent="0.25">
      <c r="E143" s="103"/>
      <c r="K143" s="12"/>
      <c r="L143" s="12"/>
      <c r="M143" s="12"/>
      <c r="N143" s="12"/>
      <c r="O143" s="12"/>
      <c r="P143" s="12"/>
      <c r="Q143" s="12"/>
      <c r="R143" s="12"/>
      <c r="S143" s="12"/>
    </row>
    <row r="144" spans="5:19" x14ac:dyDescent="0.25">
      <c r="E144" s="103"/>
      <c r="K144" s="12"/>
      <c r="L144" s="12"/>
      <c r="M144" s="12"/>
      <c r="N144" s="12"/>
      <c r="O144" s="12"/>
      <c r="P144" s="12"/>
      <c r="Q144" s="12"/>
      <c r="R144" s="12"/>
      <c r="S144" s="12"/>
    </row>
    <row r="145" spans="5:19" x14ac:dyDescent="0.25">
      <c r="E145" s="103"/>
      <c r="K145" s="12"/>
      <c r="L145" s="12"/>
      <c r="M145" s="12"/>
      <c r="N145" s="12"/>
      <c r="O145" s="12"/>
      <c r="P145" s="12"/>
      <c r="Q145" s="12"/>
      <c r="R145" s="12"/>
      <c r="S145" s="12"/>
    </row>
    <row r="146" spans="5:19" x14ac:dyDescent="0.25">
      <c r="E146" s="103"/>
      <c r="K146" s="12"/>
      <c r="L146" s="12"/>
      <c r="M146" s="12"/>
      <c r="N146" s="12"/>
      <c r="O146" s="12"/>
      <c r="P146" s="12"/>
      <c r="Q146" s="12"/>
      <c r="R146" s="12"/>
      <c r="S146" s="12"/>
    </row>
    <row r="147" spans="5:19" x14ac:dyDescent="0.25">
      <c r="E147" s="103"/>
      <c r="K147" s="12"/>
      <c r="L147" s="12"/>
      <c r="M147" s="12"/>
      <c r="N147" s="12"/>
      <c r="O147" s="12"/>
      <c r="P147" s="12"/>
      <c r="Q147" s="12"/>
      <c r="R147" s="12"/>
      <c r="S147" s="12"/>
    </row>
    <row r="148" spans="5:19" x14ac:dyDescent="0.25">
      <c r="E148" s="103"/>
      <c r="K148" s="12"/>
      <c r="L148" s="12"/>
      <c r="M148" s="12"/>
      <c r="N148" s="12"/>
      <c r="O148" s="12"/>
      <c r="P148" s="12"/>
      <c r="Q148" s="12"/>
      <c r="R148" s="12"/>
      <c r="S148" s="12"/>
    </row>
    <row r="149" spans="5:19" x14ac:dyDescent="0.25">
      <c r="E149" s="103"/>
      <c r="K149" s="12"/>
      <c r="L149" s="12"/>
      <c r="M149" s="12"/>
      <c r="N149" s="12"/>
      <c r="O149" s="12"/>
      <c r="P149" s="12"/>
      <c r="Q149" s="12"/>
      <c r="R149" s="12"/>
      <c r="S149" s="12"/>
    </row>
    <row r="150" spans="5:19" x14ac:dyDescent="0.25">
      <c r="E150" s="103"/>
      <c r="K150" s="12"/>
      <c r="L150" s="12"/>
      <c r="M150" s="12"/>
      <c r="N150" s="12"/>
      <c r="O150" s="12"/>
      <c r="P150" s="12"/>
      <c r="Q150" s="12"/>
      <c r="R150" s="12"/>
      <c r="S150" s="12"/>
    </row>
    <row r="151" spans="5:19" x14ac:dyDescent="0.25">
      <c r="E151" s="103"/>
      <c r="K151" s="12"/>
      <c r="L151" s="12"/>
      <c r="M151" s="12"/>
      <c r="N151" s="12"/>
      <c r="O151" s="12"/>
      <c r="P151" s="12"/>
      <c r="Q151" s="12"/>
      <c r="R151" s="12"/>
      <c r="S151" s="12"/>
    </row>
    <row r="152" spans="5:19" x14ac:dyDescent="0.25">
      <c r="E152" s="103"/>
      <c r="K152" s="12"/>
      <c r="L152" s="12"/>
      <c r="M152" s="12"/>
      <c r="N152" s="12"/>
      <c r="O152" s="12"/>
      <c r="P152" s="12"/>
      <c r="Q152" s="12"/>
      <c r="R152" s="12"/>
      <c r="S152" s="12"/>
    </row>
    <row r="153" spans="5:19" x14ac:dyDescent="0.25">
      <c r="E153" s="103"/>
      <c r="K153" s="12"/>
      <c r="L153" s="12"/>
      <c r="M153" s="12"/>
      <c r="N153" s="12"/>
      <c r="O153" s="12"/>
      <c r="P153" s="12"/>
      <c r="Q153" s="12"/>
      <c r="R153" s="12"/>
      <c r="S153" s="12"/>
    </row>
    <row r="154" spans="5:19" x14ac:dyDescent="0.25">
      <c r="E154" s="103"/>
      <c r="K154" s="12"/>
      <c r="L154" s="12"/>
      <c r="M154" s="12"/>
      <c r="N154" s="12"/>
      <c r="O154" s="12"/>
      <c r="P154" s="12"/>
      <c r="Q154" s="12"/>
      <c r="R154" s="12"/>
      <c r="S154" s="12"/>
    </row>
    <row r="155" spans="5:19" x14ac:dyDescent="0.25">
      <c r="E155" s="103"/>
      <c r="K155" s="12"/>
      <c r="L155" s="12"/>
      <c r="M155" s="12"/>
      <c r="N155" s="12"/>
      <c r="O155" s="12"/>
      <c r="P155" s="12"/>
      <c r="Q155" s="12"/>
      <c r="R155" s="12"/>
      <c r="S155" s="12"/>
    </row>
    <row r="156" spans="5:19" x14ac:dyDescent="0.25">
      <c r="E156" s="103"/>
      <c r="K156" s="12"/>
      <c r="L156" s="12"/>
      <c r="M156" s="12"/>
      <c r="N156" s="12"/>
      <c r="O156" s="12"/>
      <c r="P156" s="12"/>
      <c r="Q156" s="12"/>
      <c r="R156" s="12"/>
      <c r="S156" s="12"/>
    </row>
    <row r="157" spans="5:19" x14ac:dyDescent="0.25">
      <c r="E157" s="103"/>
      <c r="K157" s="12"/>
      <c r="L157" s="12"/>
      <c r="M157" s="12"/>
      <c r="N157" s="12"/>
      <c r="O157" s="12"/>
      <c r="P157" s="12"/>
      <c r="Q157" s="12"/>
      <c r="R157" s="12"/>
      <c r="S157" s="12"/>
    </row>
    <row r="158" spans="5:19" x14ac:dyDescent="0.25">
      <c r="E158" s="103"/>
      <c r="K158" s="12"/>
      <c r="L158" s="12"/>
      <c r="M158" s="12"/>
      <c r="N158" s="12"/>
      <c r="O158" s="12"/>
      <c r="P158" s="12"/>
      <c r="Q158" s="12"/>
      <c r="R158" s="12"/>
      <c r="S158" s="12"/>
    </row>
    <row r="159" spans="5:19" x14ac:dyDescent="0.25">
      <c r="E159" s="103"/>
      <c r="K159" s="12"/>
      <c r="L159" s="12"/>
      <c r="M159" s="12"/>
      <c r="N159" s="12"/>
      <c r="O159" s="12"/>
      <c r="P159" s="12"/>
      <c r="Q159" s="12"/>
      <c r="R159" s="12"/>
      <c r="S159" s="12"/>
    </row>
    <row r="160" spans="5:19" x14ac:dyDescent="0.25">
      <c r="E160" s="103"/>
      <c r="K160" s="12"/>
      <c r="L160" s="12"/>
      <c r="M160" s="12"/>
      <c r="N160" s="12"/>
      <c r="O160" s="12"/>
      <c r="P160" s="12"/>
      <c r="Q160" s="12"/>
      <c r="R160" s="12"/>
      <c r="S160" s="12"/>
    </row>
    <row r="161" spans="5:19" x14ac:dyDescent="0.25">
      <c r="E161" s="103"/>
      <c r="K161" s="12"/>
      <c r="L161" s="12"/>
      <c r="M161" s="12"/>
      <c r="N161" s="12"/>
      <c r="O161" s="12"/>
      <c r="P161" s="12"/>
      <c r="Q161" s="12"/>
      <c r="R161" s="12"/>
      <c r="S161" s="12"/>
    </row>
    <row r="162" spans="5:19" x14ac:dyDescent="0.25">
      <c r="E162" s="103"/>
      <c r="K162" s="12"/>
      <c r="L162" s="12"/>
      <c r="M162" s="12"/>
      <c r="N162" s="12"/>
      <c r="O162" s="12"/>
      <c r="P162" s="12"/>
      <c r="Q162" s="12"/>
      <c r="R162" s="12"/>
      <c r="S162" s="12"/>
    </row>
    <row r="163" spans="5:19" x14ac:dyDescent="0.25">
      <c r="E163" s="103"/>
      <c r="K163" s="12"/>
      <c r="L163" s="12"/>
      <c r="M163" s="12"/>
      <c r="N163" s="12"/>
      <c r="O163" s="12"/>
      <c r="P163" s="12"/>
      <c r="Q163" s="12"/>
      <c r="R163" s="12"/>
      <c r="S163" s="12"/>
    </row>
    <row r="164" spans="5:19" x14ac:dyDescent="0.25">
      <c r="E164" s="103"/>
      <c r="K164" s="12"/>
      <c r="L164" s="12"/>
      <c r="M164" s="12"/>
      <c r="N164" s="12"/>
      <c r="O164" s="12"/>
      <c r="P164" s="12"/>
      <c r="Q164" s="12"/>
      <c r="R164" s="12"/>
      <c r="S164" s="12"/>
    </row>
    <row r="165" spans="5:19" x14ac:dyDescent="0.25">
      <c r="E165" s="103"/>
      <c r="K165" s="12"/>
      <c r="L165" s="12"/>
      <c r="M165" s="12"/>
      <c r="N165" s="12"/>
      <c r="O165" s="12"/>
      <c r="P165" s="12"/>
      <c r="Q165" s="12"/>
      <c r="R165" s="12"/>
      <c r="S165" s="12"/>
    </row>
    <row r="166" spans="5:19" x14ac:dyDescent="0.25">
      <c r="E166" s="103"/>
      <c r="K166" s="12"/>
      <c r="L166" s="12"/>
      <c r="M166" s="12"/>
      <c r="N166" s="12"/>
      <c r="O166" s="12"/>
      <c r="P166" s="12"/>
      <c r="Q166" s="12"/>
      <c r="R166" s="12"/>
      <c r="S166" s="12"/>
    </row>
    <row r="167" spans="5:19" x14ac:dyDescent="0.25">
      <c r="E167" s="103"/>
      <c r="K167" s="12"/>
      <c r="L167" s="12"/>
      <c r="M167" s="12"/>
      <c r="N167" s="12"/>
      <c r="O167" s="12"/>
      <c r="P167" s="12"/>
      <c r="Q167" s="12"/>
      <c r="R167" s="12"/>
      <c r="S167" s="12"/>
    </row>
    <row r="168" spans="5:19" x14ac:dyDescent="0.25">
      <c r="E168" s="103"/>
      <c r="K168" s="12"/>
      <c r="L168" s="12"/>
      <c r="M168" s="12"/>
      <c r="N168" s="12"/>
      <c r="O168" s="12"/>
      <c r="P168" s="12"/>
      <c r="Q168" s="12"/>
      <c r="R168" s="12"/>
      <c r="S168" s="12"/>
    </row>
    <row r="169" spans="5:19" x14ac:dyDescent="0.25">
      <c r="E169" s="103"/>
      <c r="K169" s="12"/>
      <c r="L169" s="12"/>
      <c r="M169" s="12"/>
      <c r="N169" s="12"/>
      <c r="O169" s="12"/>
      <c r="P169" s="12"/>
      <c r="Q169" s="12"/>
      <c r="R169" s="12"/>
      <c r="S169" s="12"/>
    </row>
    <row r="170" spans="5:19" x14ac:dyDescent="0.25">
      <c r="E170" s="103"/>
      <c r="K170" s="12"/>
      <c r="L170" s="12"/>
      <c r="M170" s="12"/>
      <c r="N170" s="12"/>
      <c r="O170" s="12"/>
      <c r="P170" s="12"/>
      <c r="Q170" s="12"/>
      <c r="R170" s="12"/>
      <c r="S170" s="12"/>
    </row>
    <row r="171" spans="5:19" x14ac:dyDescent="0.25">
      <c r="E171" s="103"/>
      <c r="K171" s="12"/>
      <c r="L171" s="12"/>
      <c r="M171" s="12"/>
      <c r="N171" s="12"/>
      <c r="O171" s="12"/>
      <c r="P171" s="12"/>
      <c r="Q171" s="12"/>
      <c r="R171" s="12"/>
      <c r="S171" s="12"/>
    </row>
    <row r="172" spans="5:19" x14ac:dyDescent="0.25">
      <c r="E172" s="103"/>
      <c r="K172" s="12"/>
      <c r="L172" s="12"/>
      <c r="M172" s="12"/>
      <c r="N172" s="12"/>
      <c r="O172" s="12"/>
      <c r="P172" s="12"/>
      <c r="Q172" s="12"/>
      <c r="R172" s="12"/>
      <c r="S172" s="12"/>
    </row>
    <row r="173" spans="5:19" x14ac:dyDescent="0.25">
      <c r="E173" s="103"/>
      <c r="K173" s="12"/>
      <c r="L173" s="12"/>
      <c r="M173" s="12"/>
      <c r="N173" s="12"/>
      <c r="O173" s="12"/>
      <c r="P173" s="12"/>
      <c r="Q173" s="12"/>
      <c r="R173" s="12"/>
      <c r="S173" s="12"/>
    </row>
    <row r="174" spans="5:19" x14ac:dyDescent="0.25">
      <c r="E174" s="103"/>
      <c r="K174" s="12"/>
      <c r="L174" s="12"/>
      <c r="M174" s="12"/>
      <c r="N174" s="12"/>
      <c r="O174" s="12"/>
      <c r="P174" s="12"/>
      <c r="Q174" s="12"/>
      <c r="R174" s="12"/>
      <c r="S174" s="12"/>
    </row>
    <row r="175" spans="5:19" x14ac:dyDescent="0.25">
      <c r="E175" s="103"/>
      <c r="K175" s="12"/>
      <c r="L175" s="12"/>
      <c r="M175" s="12"/>
      <c r="N175" s="12"/>
      <c r="O175" s="12"/>
      <c r="P175" s="12"/>
      <c r="Q175" s="12"/>
      <c r="R175" s="12"/>
      <c r="S175" s="12"/>
    </row>
    <row r="176" spans="5:19" x14ac:dyDescent="0.25">
      <c r="E176" s="103"/>
      <c r="K176" s="12"/>
      <c r="L176" s="12"/>
      <c r="M176" s="12"/>
      <c r="N176" s="12"/>
      <c r="O176" s="12"/>
      <c r="P176" s="12"/>
      <c r="Q176" s="12"/>
      <c r="R176" s="12"/>
      <c r="S176" s="12"/>
    </row>
    <row r="177" spans="5:19" x14ac:dyDescent="0.25">
      <c r="E177" s="103"/>
      <c r="K177" s="12"/>
      <c r="L177" s="12"/>
      <c r="M177" s="12"/>
      <c r="N177" s="12"/>
      <c r="O177" s="12"/>
      <c r="P177" s="12"/>
      <c r="Q177" s="12"/>
      <c r="R177" s="12"/>
      <c r="S177" s="12"/>
    </row>
    <row r="178" spans="5:19" x14ac:dyDescent="0.25">
      <c r="E178" s="103"/>
      <c r="K178" s="12"/>
      <c r="L178" s="12"/>
      <c r="M178" s="12"/>
      <c r="N178" s="12"/>
      <c r="O178" s="12"/>
      <c r="P178" s="12"/>
      <c r="Q178" s="12"/>
      <c r="R178" s="12"/>
      <c r="S178" s="12"/>
    </row>
    <row r="179" spans="5:19" x14ac:dyDescent="0.25">
      <c r="E179" s="103"/>
      <c r="K179" s="12"/>
      <c r="L179" s="12"/>
      <c r="M179" s="12"/>
      <c r="N179" s="12"/>
      <c r="O179" s="12"/>
      <c r="P179" s="12"/>
      <c r="Q179" s="12"/>
      <c r="R179" s="12"/>
      <c r="S179" s="12"/>
    </row>
    <row r="180" spans="5:19" x14ac:dyDescent="0.25">
      <c r="E180" s="103"/>
      <c r="K180" s="12"/>
      <c r="L180" s="12"/>
      <c r="M180" s="12"/>
      <c r="N180" s="12"/>
      <c r="O180" s="12"/>
      <c r="P180" s="12"/>
      <c r="Q180" s="12"/>
      <c r="R180" s="12"/>
      <c r="S180" s="12"/>
    </row>
    <row r="181" spans="5:19" x14ac:dyDescent="0.25">
      <c r="E181" s="103"/>
      <c r="K181" s="12"/>
      <c r="L181" s="12"/>
      <c r="M181" s="12"/>
      <c r="N181" s="12"/>
      <c r="O181" s="12"/>
      <c r="P181" s="12"/>
      <c r="Q181" s="12"/>
      <c r="R181" s="12"/>
      <c r="S181" s="12"/>
    </row>
    <row r="182" spans="5:19" x14ac:dyDescent="0.25">
      <c r="E182" s="103"/>
      <c r="K182" s="12"/>
      <c r="L182" s="12"/>
      <c r="M182" s="12"/>
      <c r="N182" s="12"/>
      <c r="O182" s="12"/>
      <c r="P182" s="12"/>
      <c r="Q182" s="12"/>
      <c r="R182" s="12"/>
      <c r="S182" s="12"/>
    </row>
    <row r="183" spans="5:19" x14ac:dyDescent="0.25">
      <c r="E183" s="103"/>
      <c r="K183" s="12"/>
      <c r="L183" s="12"/>
      <c r="M183" s="12"/>
      <c r="N183" s="12"/>
      <c r="O183" s="12"/>
      <c r="P183" s="12"/>
      <c r="Q183" s="12"/>
      <c r="R183" s="12"/>
      <c r="S183" s="12"/>
    </row>
    <row r="184" spans="5:19" x14ac:dyDescent="0.25">
      <c r="E184" s="103"/>
      <c r="K184" s="12"/>
      <c r="L184" s="12"/>
      <c r="M184" s="12"/>
      <c r="N184" s="12"/>
      <c r="O184" s="12"/>
      <c r="P184" s="12"/>
      <c r="Q184" s="12"/>
      <c r="R184" s="12"/>
      <c r="S184" s="12"/>
    </row>
    <row r="185" spans="5:19" x14ac:dyDescent="0.25">
      <c r="E185" s="103"/>
      <c r="K185" s="12"/>
      <c r="L185" s="12"/>
      <c r="M185" s="12"/>
      <c r="N185" s="12"/>
      <c r="O185" s="12"/>
      <c r="P185" s="12"/>
      <c r="Q185" s="12"/>
      <c r="R185" s="12"/>
      <c r="S185" s="12"/>
    </row>
    <row r="186" spans="5:19" x14ac:dyDescent="0.25">
      <c r="E186" s="103"/>
      <c r="K186" s="12"/>
      <c r="L186" s="12"/>
      <c r="M186" s="12"/>
      <c r="N186" s="12"/>
      <c r="O186" s="12"/>
      <c r="P186" s="12"/>
      <c r="Q186" s="12"/>
      <c r="R186" s="12"/>
      <c r="S186" s="12"/>
    </row>
    <row r="187" spans="5:19" x14ac:dyDescent="0.25">
      <c r="E187" s="103"/>
      <c r="K187" s="12"/>
      <c r="L187" s="12"/>
      <c r="M187" s="12"/>
      <c r="N187" s="12"/>
      <c r="O187" s="12"/>
      <c r="P187" s="12"/>
      <c r="Q187" s="12"/>
      <c r="R187" s="12"/>
      <c r="S187" s="12"/>
    </row>
    <row r="188" spans="5:19" x14ac:dyDescent="0.25">
      <c r="E188" s="103"/>
      <c r="K188" s="12"/>
      <c r="L188" s="12"/>
      <c r="M188" s="12"/>
      <c r="N188" s="12"/>
      <c r="O188" s="12"/>
      <c r="P188" s="12"/>
      <c r="Q188" s="12"/>
      <c r="R188" s="12"/>
      <c r="S188" s="12"/>
    </row>
    <row r="189" spans="5:19" x14ac:dyDescent="0.25">
      <c r="E189" s="103"/>
      <c r="K189" s="12"/>
      <c r="L189" s="12"/>
      <c r="M189" s="12"/>
      <c r="N189" s="12"/>
      <c r="O189" s="12"/>
      <c r="P189" s="12"/>
      <c r="Q189" s="12"/>
      <c r="R189" s="12"/>
      <c r="S189" s="12"/>
    </row>
    <row r="190" spans="5:19" x14ac:dyDescent="0.25">
      <c r="E190" s="103"/>
      <c r="K190" s="12"/>
      <c r="L190" s="12"/>
      <c r="M190" s="12"/>
      <c r="N190" s="12"/>
      <c r="O190" s="12"/>
      <c r="P190" s="12"/>
      <c r="Q190" s="12"/>
      <c r="R190" s="12"/>
      <c r="S190" s="12"/>
    </row>
    <row r="191" spans="5:19" x14ac:dyDescent="0.25">
      <c r="E191" s="103"/>
      <c r="K191" s="12"/>
      <c r="L191" s="12"/>
      <c r="M191" s="12"/>
      <c r="N191" s="12"/>
      <c r="O191" s="12"/>
      <c r="P191" s="12"/>
      <c r="Q191" s="12"/>
      <c r="R191" s="12"/>
      <c r="S191" s="12"/>
    </row>
    <row r="192" spans="5:19" x14ac:dyDescent="0.25">
      <c r="E192" s="103"/>
      <c r="K192" s="12"/>
      <c r="L192" s="12"/>
      <c r="M192" s="12"/>
      <c r="N192" s="12"/>
      <c r="O192" s="12"/>
      <c r="P192" s="12"/>
      <c r="Q192" s="12"/>
      <c r="R192" s="12"/>
      <c r="S192" s="12"/>
    </row>
    <row r="193" spans="5:19" x14ac:dyDescent="0.25">
      <c r="E193" s="103"/>
      <c r="K193" s="12"/>
      <c r="L193" s="12"/>
      <c r="M193" s="12"/>
      <c r="N193" s="12"/>
      <c r="O193" s="12"/>
      <c r="P193" s="12"/>
      <c r="Q193" s="12"/>
      <c r="R193" s="12"/>
      <c r="S193" s="12"/>
    </row>
    <row r="194" spans="5:19" x14ac:dyDescent="0.25">
      <c r="E194" s="103"/>
      <c r="K194" s="12"/>
      <c r="L194" s="12"/>
      <c r="M194" s="12"/>
      <c r="N194" s="12"/>
      <c r="O194" s="12"/>
      <c r="P194" s="12"/>
      <c r="Q194" s="12"/>
      <c r="R194" s="12"/>
      <c r="S194" s="12"/>
    </row>
    <row r="195" spans="5:19" x14ac:dyDescent="0.25">
      <c r="E195" s="103"/>
      <c r="K195" s="12"/>
      <c r="L195" s="12"/>
      <c r="M195" s="12"/>
      <c r="N195" s="12"/>
      <c r="O195" s="12"/>
      <c r="P195" s="12"/>
      <c r="Q195" s="12"/>
      <c r="R195" s="12"/>
      <c r="S195" s="12"/>
    </row>
    <row r="196" spans="5:19" x14ac:dyDescent="0.25">
      <c r="E196" s="103"/>
      <c r="K196" s="12"/>
      <c r="L196" s="12"/>
      <c r="M196" s="12"/>
      <c r="N196" s="12"/>
      <c r="O196" s="12"/>
      <c r="P196" s="12"/>
      <c r="Q196" s="12"/>
      <c r="R196" s="12"/>
      <c r="S196" s="12"/>
    </row>
    <row r="197" spans="5:19" x14ac:dyDescent="0.25">
      <c r="E197" s="103"/>
      <c r="K197" s="12"/>
      <c r="L197" s="12"/>
      <c r="M197" s="12"/>
      <c r="N197" s="12"/>
      <c r="O197" s="12"/>
      <c r="P197" s="12"/>
      <c r="Q197" s="12"/>
      <c r="R197" s="12"/>
      <c r="S197" s="12"/>
    </row>
    <row r="198" spans="5:19" x14ac:dyDescent="0.25">
      <c r="E198" s="103"/>
      <c r="K198" s="12"/>
      <c r="L198" s="12"/>
      <c r="M198" s="12"/>
      <c r="N198" s="12"/>
      <c r="O198" s="12"/>
      <c r="P198" s="12"/>
      <c r="Q198" s="12"/>
      <c r="R198" s="12"/>
      <c r="S198" s="12"/>
    </row>
    <row r="199" spans="5:19" x14ac:dyDescent="0.25">
      <c r="E199" s="103"/>
      <c r="K199" s="12"/>
      <c r="L199" s="12"/>
      <c r="M199" s="12"/>
      <c r="N199" s="12"/>
      <c r="O199" s="12"/>
      <c r="P199" s="12"/>
      <c r="Q199" s="12"/>
      <c r="R199" s="12"/>
      <c r="S199" s="12"/>
    </row>
    <row r="200" spans="5:19" x14ac:dyDescent="0.25">
      <c r="E200" s="103"/>
      <c r="K200" s="12"/>
      <c r="L200" s="12"/>
      <c r="M200" s="12"/>
      <c r="N200" s="12"/>
      <c r="O200" s="12"/>
      <c r="P200" s="12"/>
      <c r="Q200" s="12"/>
      <c r="R200" s="12"/>
      <c r="S200" s="12"/>
    </row>
    <row r="201" spans="5:19" x14ac:dyDescent="0.25">
      <c r="E201" s="103"/>
      <c r="K201" s="12"/>
      <c r="L201" s="12"/>
      <c r="M201" s="12"/>
      <c r="N201" s="12"/>
      <c r="O201" s="12"/>
      <c r="P201" s="12"/>
      <c r="Q201" s="12"/>
      <c r="R201" s="12"/>
      <c r="S201" s="12"/>
    </row>
    <row r="202" spans="5:19" x14ac:dyDescent="0.25">
      <c r="E202" s="103"/>
      <c r="K202" s="12"/>
      <c r="L202" s="12"/>
      <c r="M202" s="12"/>
      <c r="N202" s="12"/>
      <c r="O202" s="12"/>
      <c r="P202" s="12"/>
      <c r="Q202" s="12"/>
      <c r="R202" s="12"/>
      <c r="S202" s="12"/>
    </row>
    <row r="203" spans="5:19" x14ac:dyDescent="0.25">
      <c r="E203" s="103"/>
      <c r="K203" s="12"/>
      <c r="L203" s="12"/>
      <c r="M203" s="12"/>
      <c r="N203" s="12"/>
      <c r="O203" s="12"/>
      <c r="P203" s="12"/>
      <c r="Q203" s="12"/>
      <c r="R203" s="12"/>
      <c r="S203" s="12"/>
    </row>
    <row r="204" spans="5:19" x14ac:dyDescent="0.25">
      <c r="E204" s="103"/>
      <c r="K204" s="12"/>
      <c r="L204" s="12"/>
      <c r="M204" s="12"/>
      <c r="N204" s="12"/>
      <c r="O204" s="12"/>
      <c r="P204" s="12"/>
      <c r="Q204" s="12"/>
      <c r="R204" s="12"/>
      <c r="S204" s="12"/>
    </row>
    <row r="205" spans="5:19" x14ac:dyDescent="0.25">
      <c r="E205" s="103"/>
      <c r="K205" s="12"/>
      <c r="L205" s="12"/>
      <c r="M205" s="12"/>
      <c r="N205" s="12"/>
      <c r="O205" s="12"/>
      <c r="P205" s="12"/>
      <c r="Q205" s="12"/>
      <c r="R205" s="12"/>
      <c r="S205" s="12"/>
    </row>
    <row r="206" spans="5:19" x14ac:dyDescent="0.25">
      <c r="E206" s="103"/>
      <c r="K206" s="12"/>
      <c r="L206" s="12"/>
      <c r="M206" s="12"/>
      <c r="N206" s="12"/>
      <c r="O206" s="12"/>
      <c r="P206" s="12"/>
      <c r="Q206" s="12"/>
      <c r="R206" s="12"/>
      <c r="S206" s="12"/>
    </row>
    <row r="207" spans="5:19" x14ac:dyDescent="0.25">
      <c r="E207" s="103"/>
      <c r="K207" s="12"/>
      <c r="L207" s="12"/>
      <c r="M207" s="12"/>
      <c r="N207" s="12"/>
      <c r="O207" s="12"/>
      <c r="P207" s="12"/>
      <c r="Q207" s="12"/>
      <c r="R207" s="12"/>
      <c r="S207" s="12"/>
    </row>
    <row r="208" spans="5:19" x14ac:dyDescent="0.25">
      <c r="E208" s="103"/>
      <c r="K208" s="12"/>
      <c r="L208" s="12"/>
      <c r="M208" s="12"/>
      <c r="N208" s="12"/>
      <c r="O208" s="12"/>
      <c r="P208" s="12"/>
      <c r="Q208" s="12"/>
      <c r="R208" s="12"/>
      <c r="S208" s="12"/>
    </row>
    <row r="209" spans="5:19" x14ac:dyDescent="0.25">
      <c r="E209" s="103"/>
      <c r="K209" s="12"/>
      <c r="L209" s="12"/>
      <c r="M209" s="12"/>
      <c r="N209" s="12"/>
      <c r="O209" s="12"/>
      <c r="P209" s="12"/>
      <c r="Q209" s="12"/>
      <c r="R209" s="12"/>
      <c r="S209" s="12"/>
    </row>
    <row r="210" spans="5:19" x14ac:dyDescent="0.25">
      <c r="E210" s="103"/>
      <c r="K210" s="12"/>
      <c r="L210" s="12"/>
      <c r="M210" s="12"/>
      <c r="N210" s="12"/>
      <c r="O210" s="12"/>
      <c r="P210" s="12"/>
      <c r="Q210" s="12"/>
      <c r="R210" s="12"/>
      <c r="S210" s="12"/>
    </row>
    <row r="211" spans="5:19" x14ac:dyDescent="0.25">
      <c r="E211" s="103"/>
      <c r="K211" s="12"/>
      <c r="L211" s="12"/>
      <c r="M211" s="12"/>
      <c r="N211" s="12"/>
      <c r="O211" s="12"/>
      <c r="P211" s="12"/>
      <c r="Q211" s="12"/>
      <c r="R211" s="12"/>
      <c r="S211" s="12"/>
    </row>
    <row r="212" spans="5:19" x14ac:dyDescent="0.25">
      <c r="E212" s="103"/>
      <c r="K212" s="12"/>
      <c r="L212" s="12"/>
      <c r="M212" s="12"/>
      <c r="N212" s="12"/>
      <c r="O212" s="12"/>
      <c r="P212" s="12"/>
      <c r="Q212" s="12"/>
      <c r="R212" s="12"/>
      <c r="S212" s="12"/>
    </row>
    <row r="213" spans="5:19" x14ac:dyDescent="0.25">
      <c r="E213" s="103"/>
      <c r="K213" s="12"/>
      <c r="L213" s="12"/>
      <c r="M213" s="12"/>
      <c r="N213" s="12"/>
      <c r="O213" s="12"/>
      <c r="P213" s="12"/>
      <c r="Q213" s="12"/>
      <c r="R213" s="12"/>
      <c r="S213" s="12"/>
    </row>
    <row r="214" spans="5:19" x14ac:dyDescent="0.25">
      <c r="E214" s="103"/>
      <c r="K214" s="12"/>
      <c r="L214" s="12"/>
      <c r="M214" s="12"/>
      <c r="N214" s="12"/>
      <c r="O214" s="12"/>
      <c r="P214" s="12"/>
      <c r="Q214" s="12"/>
      <c r="R214" s="12"/>
      <c r="S214" s="12"/>
    </row>
    <row r="215" spans="5:19" x14ac:dyDescent="0.25">
      <c r="E215" s="103"/>
      <c r="K215" s="12"/>
      <c r="L215" s="12"/>
      <c r="M215" s="12"/>
      <c r="N215" s="12"/>
      <c r="O215" s="12"/>
      <c r="P215" s="12"/>
      <c r="Q215" s="12"/>
      <c r="R215" s="12"/>
      <c r="S215" s="12"/>
    </row>
    <row r="216" spans="5:19" x14ac:dyDescent="0.25">
      <c r="E216" s="103"/>
      <c r="K216" s="12"/>
      <c r="L216" s="12"/>
      <c r="M216" s="12"/>
      <c r="N216" s="12"/>
      <c r="O216" s="12"/>
      <c r="P216" s="12"/>
      <c r="Q216" s="12"/>
      <c r="R216" s="12"/>
      <c r="S216" s="12"/>
    </row>
    <row r="217" spans="5:19" x14ac:dyDescent="0.25">
      <c r="E217" s="103"/>
      <c r="K217" s="12"/>
      <c r="L217" s="12"/>
      <c r="M217" s="12"/>
      <c r="N217" s="12"/>
      <c r="O217" s="12"/>
      <c r="P217" s="12"/>
      <c r="Q217" s="12"/>
      <c r="R217" s="12"/>
      <c r="S217" s="12"/>
    </row>
    <row r="218" spans="5:19" x14ac:dyDescent="0.25">
      <c r="E218" s="103"/>
      <c r="K218" s="12"/>
      <c r="L218" s="12"/>
      <c r="M218" s="12"/>
      <c r="N218" s="12"/>
      <c r="O218" s="12"/>
      <c r="P218" s="12"/>
      <c r="Q218" s="12"/>
      <c r="R218" s="12"/>
      <c r="S218" s="12"/>
    </row>
    <row r="219" spans="5:19" x14ac:dyDescent="0.25">
      <c r="E219" s="103"/>
      <c r="K219" s="12"/>
      <c r="L219" s="12"/>
      <c r="M219" s="12"/>
      <c r="N219" s="12"/>
      <c r="O219" s="12"/>
      <c r="P219" s="12"/>
      <c r="Q219" s="12"/>
      <c r="R219" s="12"/>
      <c r="S219" s="12"/>
    </row>
    <row r="220" spans="5:19" x14ac:dyDescent="0.25">
      <c r="E220" s="103"/>
      <c r="K220" s="12"/>
      <c r="L220" s="12"/>
      <c r="M220" s="12"/>
      <c r="N220" s="12"/>
      <c r="O220" s="12"/>
      <c r="P220" s="12"/>
      <c r="Q220" s="12"/>
      <c r="R220" s="12"/>
      <c r="S220" s="12"/>
    </row>
    <row r="221" spans="5:19" x14ac:dyDescent="0.25">
      <c r="E221" s="103"/>
      <c r="K221" s="12"/>
      <c r="L221" s="12"/>
      <c r="M221" s="12"/>
      <c r="N221" s="12"/>
      <c r="O221" s="12"/>
      <c r="P221" s="12"/>
      <c r="Q221" s="12"/>
      <c r="R221" s="12"/>
      <c r="S221" s="12"/>
    </row>
    <row r="222" spans="5:19" x14ac:dyDescent="0.25">
      <c r="E222" s="103"/>
      <c r="K222" s="12"/>
      <c r="L222" s="12"/>
      <c r="M222" s="12"/>
      <c r="N222" s="12"/>
      <c r="O222" s="12"/>
      <c r="P222" s="12"/>
      <c r="Q222" s="12"/>
      <c r="R222" s="12"/>
      <c r="S222" s="12"/>
    </row>
    <row r="223" spans="5:19" x14ac:dyDescent="0.25">
      <c r="E223" s="103"/>
      <c r="K223" s="12"/>
      <c r="L223" s="12"/>
      <c r="M223" s="12"/>
      <c r="N223" s="12"/>
      <c r="O223" s="12"/>
      <c r="P223" s="12"/>
      <c r="Q223" s="12"/>
      <c r="R223" s="12"/>
      <c r="S223" s="12"/>
    </row>
    <row r="224" spans="5:19" x14ac:dyDescent="0.25">
      <c r="E224" s="103"/>
      <c r="K224" s="12"/>
      <c r="L224" s="12"/>
      <c r="M224" s="12"/>
      <c r="N224" s="12"/>
      <c r="O224" s="12"/>
      <c r="P224" s="12"/>
      <c r="Q224" s="12"/>
      <c r="R224" s="12"/>
      <c r="S224" s="12"/>
    </row>
    <row r="225" spans="5:19" x14ac:dyDescent="0.25">
      <c r="E225" s="103"/>
      <c r="K225" s="12"/>
      <c r="L225" s="12"/>
      <c r="M225" s="12"/>
      <c r="N225" s="12"/>
      <c r="O225" s="12"/>
      <c r="P225" s="12"/>
      <c r="Q225" s="12"/>
      <c r="R225" s="12"/>
      <c r="S225" s="12"/>
    </row>
    <row r="226" spans="5:19" x14ac:dyDescent="0.25">
      <c r="E226" s="103"/>
      <c r="K226" s="12"/>
      <c r="L226" s="12"/>
      <c r="M226" s="12"/>
      <c r="N226" s="12"/>
      <c r="O226" s="12"/>
      <c r="P226" s="12"/>
      <c r="Q226" s="12"/>
      <c r="R226" s="12"/>
      <c r="S226" s="12"/>
    </row>
    <row r="227" spans="5:19" x14ac:dyDescent="0.25">
      <c r="E227" s="103"/>
      <c r="K227" s="12"/>
      <c r="L227" s="12"/>
      <c r="M227" s="12"/>
      <c r="N227" s="12"/>
      <c r="O227" s="12"/>
      <c r="P227" s="12"/>
      <c r="Q227" s="12"/>
      <c r="R227" s="12"/>
      <c r="S227" s="12"/>
    </row>
    <row r="228" spans="5:19" x14ac:dyDescent="0.25">
      <c r="E228" s="103"/>
      <c r="K228" s="12"/>
      <c r="L228" s="12"/>
      <c r="M228" s="12"/>
      <c r="N228" s="12"/>
      <c r="O228" s="12"/>
      <c r="P228" s="12"/>
      <c r="Q228" s="12"/>
      <c r="R228" s="12"/>
      <c r="S228" s="12"/>
    </row>
    <row r="229" spans="5:19" x14ac:dyDescent="0.25">
      <c r="E229" s="103"/>
      <c r="K229" s="12"/>
      <c r="L229" s="12"/>
      <c r="M229" s="12"/>
      <c r="N229" s="12"/>
      <c r="O229" s="12"/>
      <c r="P229" s="12"/>
      <c r="Q229" s="12"/>
      <c r="R229" s="12"/>
      <c r="S229" s="12"/>
    </row>
    <row r="230" spans="5:19" x14ac:dyDescent="0.25">
      <c r="E230" s="103"/>
      <c r="K230" s="12"/>
      <c r="L230" s="12"/>
      <c r="M230" s="12"/>
      <c r="N230" s="12"/>
      <c r="O230" s="12"/>
      <c r="P230" s="12"/>
      <c r="Q230" s="12"/>
      <c r="R230" s="12"/>
      <c r="S230" s="12"/>
    </row>
    <row r="231" spans="5:19" x14ac:dyDescent="0.25">
      <c r="E231" s="103"/>
      <c r="K231" s="12"/>
      <c r="L231" s="12"/>
      <c r="M231" s="12"/>
      <c r="N231" s="12"/>
      <c r="O231" s="12"/>
      <c r="P231" s="12"/>
      <c r="Q231" s="12"/>
      <c r="R231" s="12"/>
      <c r="S231" s="12"/>
    </row>
    <row r="232" spans="5:19" x14ac:dyDescent="0.25">
      <c r="E232" s="103"/>
      <c r="K232" s="12"/>
      <c r="L232" s="12"/>
      <c r="M232" s="12"/>
      <c r="N232" s="12"/>
      <c r="O232" s="12"/>
      <c r="P232" s="12"/>
      <c r="Q232" s="12"/>
      <c r="R232" s="12"/>
      <c r="S232" s="12"/>
    </row>
    <row r="233" spans="5:19" x14ac:dyDescent="0.25">
      <c r="E233" s="103"/>
      <c r="K233" s="12"/>
      <c r="L233" s="12"/>
      <c r="M233" s="12"/>
      <c r="N233" s="12"/>
      <c r="O233" s="12"/>
      <c r="P233" s="12"/>
      <c r="Q233" s="12"/>
      <c r="R233" s="12"/>
      <c r="S233" s="12"/>
    </row>
    <row r="234" spans="5:19" x14ac:dyDescent="0.25">
      <c r="E234" s="103"/>
      <c r="K234" s="12"/>
      <c r="L234" s="12"/>
      <c r="M234" s="12"/>
      <c r="N234" s="12"/>
      <c r="O234" s="12"/>
      <c r="P234" s="12"/>
      <c r="Q234" s="12"/>
      <c r="R234" s="12"/>
      <c r="S234" s="12"/>
    </row>
    <row r="235" spans="5:19" x14ac:dyDescent="0.25">
      <c r="E235" s="103"/>
      <c r="K235" s="12"/>
      <c r="L235" s="12"/>
      <c r="M235" s="12"/>
      <c r="N235" s="12"/>
      <c r="O235" s="12"/>
      <c r="P235" s="12"/>
      <c r="Q235" s="12"/>
      <c r="R235" s="12"/>
      <c r="S235" s="12"/>
    </row>
    <row r="236" spans="5:19" x14ac:dyDescent="0.25">
      <c r="E236" s="103"/>
      <c r="K236" s="12"/>
      <c r="L236" s="12"/>
      <c r="M236" s="12"/>
      <c r="N236" s="12"/>
      <c r="O236" s="12"/>
      <c r="P236" s="12"/>
      <c r="Q236" s="12"/>
      <c r="R236" s="12"/>
      <c r="S236" s="12"/>
    </row>
    <row r="237" spans="5:19" x14ac:dyDescent="0.25">
      <c r="E237" s="103"/>
      <c r="K237" s="12"/>
      <c r="L237" s="12"/>
      <c r="M237" s="12"/>
      <c r="N237" s="12"/>
      <c r="O237" s="12"/>
      <c r="P237" s="12"/>
      <c r="Q237" s="12"/>
      <c r="R237" s="12"/>
      <c r="S237" s="12"/>
    </row>
    <row r="238" spans="5:19" x14ac:dyDescent="0.25">
      <c r="E238" s="103"/>
      <c r="K238" s="12"/>
      <c r="L238" s="12"/>
      <c r="M238" s="12"/>
      <c r="N238" s="12"/>
      <c r="O238" s="12"/>
      <c r="P238" s="12"/>
      <c r="Q238" s="12"/>
      <c r="R238" s="12"/>
      <c r="S238" s="12"/>
    </row>
    <row r="239" spans="5:19" x14ac:dyDescent="0.25">
      <c r="E239" s="103"/>
      <c r="K239" s="12"/>
      <c r="L239" s="12"/>
      <c r="M239" s="12"/>
      <c r="N239" s="12"/>
      <c r="O239" s="12"/>
      <c r="P239" s="12"/>
      <c r="Q239" s="12"/>
      <c r="R239" s="12"/>
      <c r="S239" s="12"/>
    </row>
    <row r="240" spans="5:19" x14ac:dyDescent="0.25">
      <c r="E240" s="103"/>
      <c r="K240" s="12"/>
      <c r="L240" s="12"/>
      <c r="M240" s="12"/>
      <c r="N240" s="12"/>
      <c r="O240" s="12"/>
      <c r="P240" s="12"/>
      <c r="Q240" s="12"/>
      <c r="R240" s="12"/>
      <c r="S240" s="12"/>
    </row>
    <row r="241" spans="5:19" x14ac:dyDescent="0.25">
      <c r="E241" s="103"/>
      <c r="K241" s="12"/>
      <c r="L241" s="12"/>
      <c r="M241" s="12"/>
      <c r="N241" s="12"/>
      <c r="O241" s="12"/>
      <c r="P241" s="12"/>
      <c r="Q241" s="12"/>
      <c r="R241" s="12"/>
      <c r="S241" s="12"/>
    </row>
    <row r="242" spans="5:19" x14ac:dyDescent="0.25">
      <c r="E242" s="103"/>
      <c r="K242" s="12"/>
      <c r="L242" s="12"/>
      <c r="M242" s="12"/>
      <c r="N242" s="12"/>
      <c r="O242" s="12"/>
      <c r="P242" s="12"/>
      <c r="Q242" s="12"/>
      <c r="R242" s="12"/>
      <c r="S242" s="12"/>
    </row>
    <row r="243" spans="5:19" x14ac:dyDescent="0.25">
      <c r="E243" s="103"/>
      <c r="K243" s="12"/>
      <c r="L243" s="12"/>
      <c r="M243" s="12"/>
      <c r="N243" s="12"/>
      <c r="O243" s="12"/>
      <c r="P243" s="12"/>
      <c r="Q243" s="12"/>
      <c r="R243" s="12"/>
      <c r="S243" s="12"/>
    </row>
    <row r="244" spans="5:19" x14ac:dyDescent="0.25">
      <c r="E244" s="103"/>
      <c r="K244" s="12"/>
      <c r="L244" s="12"/>
      <c r="M244" s="12"/>
      <c r="N244" s="12"/>
      <c r="O244" s="12"/>
      <c r="P244" s="12"/>
      <c r="Q244" s="12"/>
      <c r="R244" s="12"/>
      <c r="S244" s="12"/>
    </row>
    <row r="245" spans="5:19" x14ac:dyDescent="0.25">
      <c r="E245" s="103"/>
      <c r="K245" s="12"/>
      <c r="L245" s="12"/>
      <c r="M245" s="12"/>
      <c r="N245" s="12"/>
      <c r="O245" s="12"/>
      <c r="P245" s="12"/>
      <c r="Q245" s="12"/>
      <c r="R245" s="12"/>
      <c r="S245" s="12"/>
    </row>
    <row r="246" spans="5:19" x14ac:dyDescent="0.25">
      <c r="E246" s="103"/>
      <c r="K246" s="12"/>
      <c r="L246" s="12"/>
      <c r="M246" s="12"/>
      <c r="N246" s="12"/>
      <c r="O246" s="12"/>
      <c r="P246" s="12"/>
      <c r="Q246" s="12"/>
      <c r="R246" s="12"/>
      <c r="S246" s="12"/>
    </row>
    <row r="247" spans="5:19" x14ac:dyDescent="0.25">
      <c r="E247" s="103"/>
      <c r="K247" s="12"/>
      <c r="L247" s="12"/>
      <c r="M247" s="12"/>
      <c r="N247" s="12"/>
      <c r="O247" s="12"/>
      <c r="P247" s="12"/>
      <c r="Q247" s="12"/>
      <c r="R247" s="12"/>
      <c r="S247" s="12"/>
    </row>
    <row r="248" spans="5:19" x14ac:dyDescent="0.25">
      <c r="E248" s="103"/>
      <c r="K248" s="12"/>
      <c r="L248" s="12"/>
      <c r="M248" s="12"/>
      <c r="N248" s="12"/>
      <c r="O248" s="12"/>
      <c r="P248" s="12"/>
      <c r="Q248" s="12"/>
      <c r="R248" s="12"/>
      <c r="S248" s="12"/>
    </row>
    <row r="249" spans="5:19" x14ac:dyDescent="0.25">
      <c r="E249" s="103"/>
      <c r="K249" s="12"/>
      <c r="L249" s="12"/>
      <c r="M249" s="12"/>
      <c r="N249" s="12"/>
      <c r="O249" s="12"/>
      <c r="P249" s="12"/>
      <c r="Q249" s="12"/>
      <c r="R249" s="12"/>
      <c r="S249" s="12"/>
    </row>
    <row r="250" spans="5:19" x14ac:dyDescent="0.25">
      <c r="E250" s="103"/>
      <c r="K250" s="12"/>
      <c r="L250" s="12"/>
      <c r="M250" s="12"/>
      <c r="N250" s="12"/>
      <c r="O250" s="12"/>
      <c r="P250" s="12"/>
      <c r="Q250" s="12"/>
      <c r="R250" s="12"/>
      <c r="S250" s="12"/>
    </row>
    <row r="251" spans="5:19" x14ac:dyDescent="0.25">
      <c r="E251" s="103"/>
      <c r="K251" s="12"/>
      <c r="L251" s="12"/>
      <c r="M251" s="12"/>
      <c r="N251" s="12"/>
      <c r="O251" s="12"/>
      <c r="P251" s="12"/>
      <c r="Q251" s="12"/>
      <c r="R251" s="12"/>
      <c r="S251" s="12"/>
    </row>
    <row r="252" spans="5:19" x14ac:dyDescent="0.25">
      <c r="E252" s="103"/>
      <c r="K252" s="12"/>
      <c r="L252" s="12"/>
      <c r="M252" s="12"/>
      <c r="N252" s="12"/>
      <c r="O252" s="12"/>
      <c r="P252" s="12"/>
      <c r="Q252" s="12"/>
      <c r="R252" s="12"/>
      <c r="S252" s="12"/>
    </row>
    <row r="253" spans="5:19" x14ac:dyDescent="0.25">
      <c r="E253" s="103"/>
      <c r="K253" s="12"/>
      <c r="L253" s="12"/>
      <c r="M253" s="12"/>
      <c r="N253" s="12"/>
      <c r="O253" s="12"/>
      <c r="P253" s="12"/>
      <c r="Q253" s="12"/>
      <c r="R253" s="12"/>
      <c r="S253" s="12"/>
    </row>
    <row r="254" spans="5:19" x14ac:dyDescent="0.25">
      <c r="E254" s="103"/>
      <c r="K254" s="12"/>
      <c r="L254" s="12"/>
      <c r="M254" s="12"/>
      <c r="N254" s="12"/>
      <c r="O254" s="12"/>
      <c r="P254" s="12"/>
      <c r="Q254" s="12"/>
      <c r="R254" s="12"/>
      <c r="S254" s="12"/>
    </row>
    <row r="255" spans="5:19" x14ac:dyDescent="0.25">
      <c r="E255" s="103"/>
      <c r="K255" s="12"/>
      <c r="L255" s="12"/>
      <c r="M255" s="12"/>
      <c r="N255" s="12"/>
      <c r="O255" s="12"/>
      <c r="P255" s="12"/>
      <c r="Q255" s="12"/>
      <c r="R255" s="12"/>
      <c r="S255" s="12"/>
    </row>
    <row r="256" spans="5:19" x14ac:dyDescent="0.25">
      <c r="E256" s="103"/>
      <c r="K256" s="12"/>
      <c r="L256" s="12"/>
      <c r="M256" s="12"/>
      <c r="N256" s="12"/>
      <c r="O256" s="12"/>
      <c r="P256" s="12"/>
      <c r="Q256" s="12"/>
      <c r="R256" s="12"/>
      <c r="S256" s="12"/>
    </row>
    <row r="257" spans="5:19" x14ac:dyDescent="0.25">
      <c r="E257" s="103"/>
      <c r="K257" s="12"/>
      <c r="L257" s="12"/>
      <c r="M257" s="12"/>
      <c r="N257" s="12"/>
      <c r="O257" s="12"/>
      <c r="P257" s="12"/>
      <c r="Q257" s="12"/>
      <c r="R257" s="12"/>
      <c r="S257" s="12"/>
    </row>
    <row r="258" spans="5:19" x14ac:dyDescent="0.25">
      <c r="E258" s="103"/>
      <c r="K258" s="12"/>
      <c r="L258" s="12"/>
      <c r="M258" s="12"/>
      <c r="N258" s="12"/>
      <c r="O258" s="12"/>
      <c r="P258" s="12"/>
      <c r="Q258" s="12"/>
      <c r="R258" s="12"/>
      <c r="S258" s="12"/>
    </row>
    <row r="259" spans="5:19" x14ac:dyDescent="0.25">
      <c r="E259" s="103"/>
      <c r="K259" s="12"/>
      <c r="L259" s="12"/>
      <c r="M259" s="12"/>
      <c r="N259" s="12"/>
      <c r="O259" s="12"/>
      <c r="P259" s="12"/>
      <c r="Q259" s="12"/>
      <c r="R259" s="12"/>
      <c r="S259" s="12"/>
    </row>
    <row r="260" spans="5:19" x14ac:dyDescent="0.25">
      <c r="E260" s="103"/>
      <c r="K260" s="12"/>
      <c r="L260" s="12"/>
      <c r="M260" s="12"/>
      <c r="N260" s="12"/>
      <c r="O260" s="12"/>
      <c r="P260" s="12"/>
      <c r="Q260" s="12"/>
      <c r="R260" s="12"/>
      <c r="S260" s="12"/>
    </row>
    <row r="261" spans="5:19" x14ac:dyDescent="0.25">
      <c r="E261" s="103"/>
      <c r="K261" s="12"/>
      <c r="L261" s="12"/>
      <c r="M261" s="12"/>
      <c r="N261" s="12"/>
      <c r="O261" s="12"/>
      <c r="P261" s="12"/>
      <c r="Q261" s="12"/>
      <c r="R261" s="12"/>
      <c r="S261" s="12"/>
    </row>
    <row r="262" spans="5:19" x14ac:dyDescent="0.25">
      <c r="E262" s="103"/>
      <c r="K262" s="12"/>
      <c r="L262" s="12"/>
      <c r="M262" s="12"/>
      <c r="N262" s="12"/>
      <c r="O262" s="12"/>
      <c r="P262" s="12"/>
      <c r="Q262" s="12"/>
      <c r="R262" s="12"/>
      <c r="S262" s="12"/>
    </row>
    <row r="263" spans="5:19" x14ac:dyDescent="0.25">
      <c r="E263" s="103"/>
      <c r="K263" s="12"/>
      <c r="L263" s="12"/>
      <c r="M263" s="12"/>
      <c r="N263" s="12"/>
      <c r="O263" s="12"/>
      <c r="P263" s="12"/>
      <c r="Q263" s="12"/>
      <c r="R263" s="12"/>
      <c r="S263" s="12"/>
    </row>
    <row r="264" spans="5:19" x14ac:dyDescent="0.25">
      <c r="E264" s="103"/>
      <c r="K264" s="12"/>
      <c r="L264" s="12"/>
      <c r="M264" s="12"/>
      <c r="N264" s="12"/>
      <c r="O264" s="12"/>
      <c r="P264" s="12"/>
      <c r="Q264" s="12"/>
      <c r="R264" s="12"/>
      <c r="S264" s="12"/>
    </row>
    <row r="265" spans="5:19" x14ac:dyDescent="0.25">
      <c r="E265" s="103"/>
      <c r="K265" s="12"/>
      <c r="L265" s="12"/>
      <c r="M265" s="12"/>
      <c r="N265" s="12"/>
      <c r="O265" s="12"/>
      <c r="P265" s="12"/>
      <c r="Q265" s="12"/>
      <c r="R265" s="12"/>
      <c r="S265" s="12"/>
    </row>
    <row r="266" spans="5:19" x14ac:dyDescent="0.25">
      <c r="E266" s="103"/>
      <c r="K266" s="12"/>
      <c r="L266" s="12"/>
      <c r="M266" s="12"/>
      <c r="N266" s="12"/>
      <c r="O266" s="12"/>
      <c r="P266" s="12"/>
      <c r="Q266" s="12"/>
      <c r="R266" s="12"/>
      <c r="S266" s="12"/>
    </row>
    <row r="267" spans="5:19" x14ac:dyDescent="0.25">
      <c r="E267" s="103"/>
      <c r="K267" s="12"/>
      <c r="L267" s="12"/>
      <c r="M267" s="12"/>
      <c r="N267" s="12"/>
      <c r="O267" s="12"/>
      <c r="P267" s="12"/>
      <c r="Q267" s="12"/>
      <c r="R267" s="12"/>
      <c r="S267" s="12"/>
    </row>
    <row r="268" spans="5:19" x14ac:dyDescent="0.25">
      <c r="E268" s="103"/>
      <c r="K268" s="12"/>
      <c r="L268" s="12"/>
      <c r="M268" s="12"/>
      <c r="N268" s="12"/>
      <c r="O268" s="12"/>
      <c r="P268" s="12"/>
      <c r="Q268" s="12"/>
      <c r="R268" s="12"/>
      <c r="S268" s="12"/>
    </row>
    <row r="269" spans="5:19" x14ac:dyDescent="0.25">
      <c r="E269" s="103"/>
      <c r="K269" s="12"/>
      <c r="L269" s="12"/>
      <c r="M269" s="12"/>
      <c r="N269" s="12"/>
      <c r="O269" s="12"/>
      <c r="P269" s="12"/>
      <c r="Q269" s="12"/>
      <c r="R269" s="12"/>
      <c r="S269" s="12"/>
    </row>
    <row r="270" spans="5:19" x14ac:dyDescent="0.25">
      <c r="E270" s="103"/>
      <c r="K270" s="12"/>
      <c r="L270" s="12"/>
      <c r="M270" s="12"/>
      <c r="N270" s="12"/>
      <c r="O270" s="12"/>
      <c r="P270" s="12"/>
      <c r="Q270" s="12"/>
      <c r="R270" s="12"/>
      <c r="S270" s="12"/>
    </row>
    <row r="271" spans="5:19" x14ac:dyDescent="0.25">
      <c r="E271" s="103"/>
      <c r="K271" s="12"/>
      <c r="L271" s="12"/>
      <c r="M271" s="12"/>
      <c r="N271" s="12"/>
      <c r="O271" s="12"/>
      <c r="P271" s="12"/>
      <c r="Q271" s="12"/>
      <c r="R271" s="12"/>
      <c r="S271" s="12"/>
    </row>
    <row r="272" spans="5:19" x14ac:dyDescent="0.25">
      <c r="E272" s="103"/>
      <c r="K272" s="12"/>
      <c r="L272" s="12"/>
      <c r="M272" s="12"/>
      <c r="N272" s="12"/>
      <c r="O272" s="12"/>
      <c r="P272" s="12"/>
      <c r="Q272" s="12"/>
      <c r="R272" s="12"/>
      <c r="S272" s="12"/>
    </row>
    <row r="273" spans="5:19" x14ac:dyDescent="0.25">
      <c r="E273" s="103"/>
      <c r="K273" s="12"/>
      <c r="L273" s="12"/>
      <c r="M273" s="12"/>
      <c r="N273" s="12"/>
      <c r="O273" s="12"/>
      <c r="P273" s="12"/>
      <c r="Q273" s="12"/>
      <c r="R273" s="12"/>
      <c r="S273" s="12"/>
    </row>
    <row r="274" spans="5:19" x14ac:dyDescent="0.25">
      <c r="E274" s="103"/>
      <c r="K274" s="12"/>
      <c r="L274" s="12"/>
      <c r="M274" s="12"/>
      <c r="N274" s="12"/>
      <c r="O274" s="12"/>
      <c r="P274" s="12"/>
      <c r="Q274" s="12"/>
      <c r="R274" s="12"/>
      <c r="S274" s="12"/>
    </row>
    <row r="275" spans="5:19" x14ac:dyDescent="0.25">
      <c r="E275" s="103"/>
      <c r="K275" s="12"/>
      <c r="L275" s="12"/>
      <c r="M275" s="12"/>
      <c r="N275" s="12"/>
      <c r="O275" s="12"/>
      <c r="P275" s="12"/>
      <c r="Q275" s="12"/>
      <c r="R275" s="12"/>
      <c r="S275" s="12"/>
    </row>
    <row r="276" spans="5:19" x14ac:dyDescent="0.25">
      <c r="E276" s="103"/>
      <c r="K276" s="12"/>
      <c r="L276" s="12"/>
      <c r="M276" s="12"/>
      <c r="N276" s="12"/>
      <c r="O276" s="12"/>
      <c r="P276" s="12"/>
      <c r="Q276" s="12"/>
      <c r="R276" s="12"/>
      <c r="S276" s="12"/>
    </row>
    <row r="277" spans="5:19" x14ac:dyDescent="0.25">
      <c r="E277" s="103"/>
      <c r="K277" s="12"/>
      <c r="L277" s="12"/>
      <c r="M277" s="12"/>
      <c r="N277" s="12"/>
      <c r="O277" s="12"/>
      <c r="P277" s="12"/>
      <c r="Q277" s="12"/>
      <c r="R277" s="12"/>
      <c r="S277" s="12"/>
    </row>
    <row r="278" spans="5:19" x14ac:dyDescent="0.25">
      <c r="E278" s="103"/>
      <c r="K278" s="12"/>
      <c r="L278" s="12"/>
      <c r="M278" s="12"/>
      <c r="N278" s="12"/>
      <c r="O278" s="12"/>
      <c r="P278" s="12"/>
      <c r="Q278" s="12"/>
      <c r="R278" s="12"/>
      <c r="S278" s="12"/>
    </row>
    <row r="279" spans="5:19" x14ac:dyDescent="0.25">
      <c r="E279" s="103"/>
      <c r="K279" s="12"/>
      <c r="L279" s="12"/>
      <c r="M279" s="12"/>
      <c r="N279" s="12"/>
      <c r="O279" s="12"/>
      <c r="P279" s="12"/>
      <c r="Q279" s="12"/>
      <c r="R279" s="12"/>
      <c r="S279" s="12"/>
    </row>
    <row r="280" spans="5:19" x14ac:dyDescent="0.25">
      <c r="E280" s="103"/>
      <c r="K280" s="12"/>
      <c r="L280" s="12"/>
      <c r="M280" s="12"/>
      <c r="N280" s="12"/>
      <c r="O280" s="12"/>
      <c r="P280" s="12"/>
      <c r="Q280" s="12"/>
      <c r="R280" s="12"/>
      <c r="S280" s="12"/>
    </row>
    <row r="281" spans="5:19" x14ac:dyDescent="0.25">
      <c r="E281" s="103"/>
      <c r="K281" s="12"/>
      <c r="L281" s="12"/>
      <c r="M281" s="12"/>
      <c r="N281" s="12"/>
      <c r="O281" s="12"/>
      <c r="P281" s="12"/>
      <c r="Q281" s="12"/>
      <c r="R281" s="12"/>
      <c r="S281" s="12"/>
    </row>
    <row r="282" spans="5:19" x14ac:dyDescent="0.25">
      <c r="E282" s="103"/>
      <c r="K282" s="12"/>
      <c r="L282" s="12"/>
      <c r="M282" s="12"/>
      <c r="N282" s="12"/>
      <c r="O282" s="12"/>
      <c r="P282" s="12"/>
      <c r="Q282" s="12"/>
      <c r="R282" s="12"/>
      <c r="S282" s="12"/>
    </row>
    <row r="283" spans="5:19" x14ac:dyDescent="0.25">
      <c r="E283" s="103"/>
      <c r="K283" s="12"/>
      <c r="L283" s="12"/>
      <c r="M283" s="12"/>
      <c r="N283" s="12"/>
      <c r="O283" s="12"/>
      <c r="P283" s="12"/>
      <c r="Q283" s="12"/>
      <c r="R283" s="12"/>
      <c r="S283" s="12"/>
    </row>
    <row r="284" spans="5:19" x14ac:dyDescent="0.25">
      <c r="E284" s="103"/>
      <c r="K284" s="12"/>
      <c r="L284" s="12"/>
      <c r="M284" s="12"/>
      <c r="N284" s="12"/>
      <c r="O284" s="12"/>
      <c r="P284" s="12"/>
      <c r="Q284" s="12"/>
      <c r="R284" s="12"/>
      <c r="S284" s="12"/>
    </row>
    <row r="285" spans="5:19" x14ac:dyDescent="0.25">
      <c r="E285" s="103"/>
      <c r="K285" s="12"/>
      <c r="L285" s="12"/>
      <c r="M285" s="12"/>
      <c r="N285" s="12"/>
      <c r="O285" s="12"/>
      <c r="P285" s="12"/>
      <c r="Q285" s="12"/>
      <c r="R285" s="12"/>
      <c r="S285" s="12"/>
    </row>
    <row r="286" spans="5:19" x14ac:dyDescent="0.25">
      <c r="E286" s="103"/>
      <c r="K286" s="12"/>
      <c r="L286" s="12"/>
      <c r="M286" s="12"/>
      <c r="N286" s="12"/>
      <c r="O286" s="12"/>
      <c r="P286" s="12"/>
      <c r="Q286" s="12"/>
      <c r="R286" s="12"/>
      <c r="S286" s="12"/>
    </row>
    <row r="287" spans="5:19" x14ac:dyDescent="0.25">
      <c r="E287" s="103"/>
      <c r="K287" s="12"/>
      <c r="L287" s="12"/>
      <c r="M287" s="12"/>
      <c r="N287" s="12"/>
      <c r="O287" s="12"/>
      <c r="P287" s="12"/>
      <c r="Q287" s="12"/>
      <c r="R287" s="12"/>
      <c r="S287" s="12"/>
    </row>
    <row r="288" spans="5:19" x14ac:dyDescent="0.25">
      <c r="E288" s="103"/>
      <c r="K288" s="12"/>
      <c r="L288" s="12"/>
      <c r="M288" s="12"/>
      <c r="N288" s="12"/>
      <c r="O288" s="12"/>
      <c r="P288" s="12"/>
      <c r="Q288" s="12"/>
      <c r="R288" s="12"/>
      <c r="S288" s="12"/>
    </row>
    <row r="289" spans="5:19" x14ac:dyDescent="0.25">
      <c r="E289" s="103"/>
      <c r="K289" s="12"/>
      <c r="L289" s="12"/>
      <c r="M289" s="12"/>
      <c r="N289" s="12"/>
      <c r="O289" s="12"/>
      <c r="P289" s="12"/>
      <c r="Q289" s="12"/>
      <c r="R289" s="12"/>
      <c r="S289" s="12"/>
    </row>
    <row r="290" spans="5:19" x14ac:dyDescent="0.25">
      <c r="E290" s="103"/>
      <c r="K290" s="12"/>
      <c r="L290" s="12"/>
      <c r="M290" s="12"/>
      <c r="N290" s="12"/>
      <c r="O290" s="12"/>
      <c r="P290" s="12"/>
      <c r="Q290" s="12"/>
      <c r="R290" s="12"/>
      <c r="S290" s="12"/>
    </row>
    <row r="291" spans="5:19" x14ac:dyDescent="0.25">
      <c r="E291" s="103"/>
      <c r="K291" s="12"/>
      <c r="L291" s="12"/>
      <c r="M291" s="12"/>
      <c r="N291" s="12"/>
      <c r="O291" s="12"/>
      <c r="P291" s="12"/>
      <c r="Q291" s="12"/>
      <c r="R291" s="12"/>
      <c r="S291" s="12"/>
    </row>
    <row r="292" spans="5:19" x14ac:dyDescent="0.25">
      <c r="E292" s="103"/>
      <c r="K292" s="12"/>
      <c r="L292" s="12"/>
      <c r="M292" s="12"/>
      <c r="N292" s="12"/>
      <c r="O292" s="12"/>
      <c r="P292" s="12"/>
      <c r="Q292" s="12"/>
      <c r="R292" s="12"/>
      <c r="S292" s="12"/>
    </row>
    <row r="293" spans="5:19" x14ac:dyDescent="0.25">
      <c r="E293" s="103"/>
      <c r="K293" s="12"/>
      <c r="L293" s="12"/>
      <c r="M293" s="12"/>
      <c r="N293" s="12"/>
      <c r="O293" s="12"/>
      <c r="P293" s="12"/>
      <c r="Q293" s="12"/>
      <c r="R293" s="12"/>
      <c r="S293" s="12"/>
    </row>
    <row r="294" spans="5:19" x14ac:dyDescent="0.25">
      <c r="E294" s="103"/>
      <c r="K294" s="12"/>
      <c r="L294" s="12"/>
      <c r="M294" s="12"/>
      <c r="N294" s="12"/>
      <c r="O294" s="12"/>
      <c r="P294" s="12"/>
      <c r="Q294" s="12"/>
      <c r="R294" s="12"/>
      <c r="S294" s="12"/>
    </row>
    <row r="295" spans="5:19" x14ac:dyDescent="0.25">
      <c r="E295" s="103"/>
      <c r="K295" s="12"/>
      <c r="L295" s="12"/>
      <c r="M295" s="12"/>
      <c r="N295" s="12"/>
      <c r="O295" s="12"/>
      <c r="P295" s="12"/>
      <c r="Q295" s="12"/>
      <c r="R295" s="12"/>
      <c r="S295" s="12"/>
    </row>
    <row r="296" spans="5:19" x14ac:dyDescent="0.25">
      <c r="E296" s="103"/>
      <c r="K296" s="12"/>
      <c r="L296" s="12"/>
      <c r="M296" s="12"/>
      <c r="N296" s="12"/>
      <c r="O296" s="12"/>
      <c r="P296" s="12"/>
      <c r="Q296" s="12"/>
      <c r="R296" s="12"/>
      <c r="S296" s="12"/>
    </row>
    <row r="297" spans="5:19" x14ac:dyDescent="0.25">
      <c r="E297" s="103"/>
      <c r="K297" s="12"/>
      <c r="L297" s="12"/>
      <c r="M297" s="12"/>
      <c r="N297" s="12"/>
      <c r="O297" s="12"/>
      <c r="P297" s="12"/>
      <c r="Q297" s="12"/>
      <c r="R297" s="12"/>
      <c r="S297" s="12"/>
    </row>
    <row r="298" spans="5:19" x14ac:dyDescent="0.25">
      <c r="E298" s="103"/>
      <c r="K298" s="12"/>
      <c r="L298" s="12"/>
      <c r="M298" s="12"/>
      <c r="N298" s="12"/>
      <c r="O298" s="12"/>
      <c r="P298" s="12"/>
      <c r="Q298" s="12"/>
      <c r="R298" s="12"/>
      <c r="S298" s="12"/>
    </row>
    <row r="299" spans="5:19" x14ac:dyDescent="0.25">
      <c r="E299" s="103"/>
      <c r="K299" s="12"/>
      <c r="L299" s="12"/>
      <c r="M299" s="12"/>
      <c r="N299" s="12"/>
      <c r="O299" s="12"/>
      <c r="P299" s="12"/>
      <c r="Q299" s="12"/>
      <c r="R299" s="12"/>
      <c r="S299" s="12"/>
    </row>
    <row r="300" spans="5:19" x14ac:dyDescent="0.25">
      <c r="E300" s="103"/>
      <c r="K300" s="12"/>
      <c r="L300" s="12"/>
      <c r="M300" s="12"/>
      <c r="N300" s="12"/>
      <c r="O300" s="12"/>
      <c r="P300" s="12"/>
      <c r="Q300" s="12"/>
      <c r="R300" s="12"/>
      <c r="S300" s="12"/>
    </row>
    <row r="301" spans="5:19" x14ac:dyDescent="0.25">
      <c r="E301" s="103"/>
      <c r="K301" s="12"/>
      <c r="L301" s="12"/>
      <c r="M301" s="12"/>
      <c r="N301" s="12"/>
      <c r="O301" s="12"/>
      <c r="P301" s="12"/>
      <c r="Q301" s="12"/>
      <c r="R301" s="12"/>
      <c r="S301" s="12"/>
    </row>
    <row r="302" spans="5:19" x14ac:dyDescent="0.25">
      <c r="E302" s="103"/>
      <c r="K302" s="12"/>
      <c r="L302" s="12"/>
      <c r="M302" s="12"/>
      <c r="N302" s="12"/>
      <c r="O302" s="12"/>
      <c r="P302" s="12"/>
      <c r="Q302" s="12"/>
      <c r="R302" s="12"/>
      <c r="S302" s="12"/>
    </row>
    <row r="303" spans="5:19" x14ac:dyDescent="0.25">
      <c r="E303" s="103"/>
      <c r="K303" s="12"/>
      <c r="L303" s="12"/>
      <c r="M303" s="12"/>
      <c r="N303" s="12"/>
      <c r="O303" s="12"/>
      <c r="P303" s="12"/>
      <c r="Q303" s="12"/>
      <c r="R303" s="12"/>
      <c r="S303" s="12"/>
    </row>
    <row r="304" spans="5:19" x14ac:dyDescent="0.25">
      <c r="E304" s="103"/>
      <c r="K304" s="12"/>
      <c r="L304" s="12"/>
      <c r="M304" s="12"/>
      <c r="N304" s="12"/>
      <c r="O304" s="12"/>
      <c r="P304" s="12"/>
      <c r="Q304" s="12"/>
      <c r="R304" s="12"/>
      <c r="S304" s="12"/>
    </row>
    <row r="305" spans="5:19" x14ac:dyDescent="0.25">
      <c r="E305" s="103"/>
      <c r="K305" s="12"/>
      <c r="L305" s="12"/>
      <c r="M305" s="12"/>
      <c r="N305" s="12"/>
      <c r="O305" s="12"/>
      <c r="P305" s="12"/>
      <c r="Q305" s="12"/>
      <c r="R305" s="12"/>
      <c r="S305" s="12"/>
    </row>
    <row r="306" spans="5:19" x14ac:dyDescent="0.25">
      <c r="E306" s="103"/>
      <c r="K306" s="12"/>
      <c r="L306" s="12"/>
      <c r="M306" s="12"/>
      <c r="N306" s="12"/>
      <c r="O306" s="12"/>
      <c r="P306" s="12"/>
      <c r="Q306" s="12"/>
      <c r="R306" s="12"/>
      <c r="S306" s="12"/>
    </row>
    <row r="307" spans="5:19" x14ac:dyDescent="0.25">
      <c r="E307" s="103"/>
      <c r="K307" s="12"/>
      <c r="L307" s="12"/>
      <c r="M307" s="12"/>
      <c r="N307" s="12"/>
      <c r="O307" s="12"/>
      <c r="P307" s="12"/>
      <c r="Q307" s="12"/>
      <c r="R307" s="12"/>
      <c r="S307" s="12"/>
    </row>
    <row r="308" spans="5:19" x14ac:dyDescent="0.25">
      <c r="E308" s="103"/>
      <c r="K308" s="12"/>
      <c r="L308" s="12"/>
      <c r="M308" s="12"/>
      <c r="N308" s="12"/>
      <c r="O308" s="12"/>
      <c r="P308" s="12"/>
      <c r="Q308" s="12"/>
      <c r="R308" s="12"/>
      <c r="S308" s="12"/>
    </row>
    <row r="309" spans="5:19" x14ac:dyDescent="0.25">
      <c r="E309" s="103"/>
      <c r="K309" s="12"/>
      <c r="L309" s="12"/>
      <c r="M309" s="12"/>
      <c r="N309" s="12"/>
      <c r="O309" s="12"/>
      <c r="P309" s="12"/>
      <c r="Q309" s="12"/>
      <c r="R309" s="12"/>
      <c r="S309" s="12"/>
    </row>
    <row r="310" spans="5:19" x14ac:dyDescent="0.25">
      <c r="E310" s="103"/>
      <c r="K310" s="12"/>
      <c r="L310" s="12"/>
      <c r="M310" s="12"/>
      <c r="N310" s="12"/>
      <c r="O310" s="12"/>
      <c r="P310" s="12"/>
      <c r="Q310" s="12"/>
      <c r="R310" s="12"/>
      <c r="S310" s="12"/>
    </row>
    <row r="311" spans="5:19" x14ac:dyDescent="0.25">
      <c r="E311" s="103"/>
      <c r="K311" s="12"/>
      <c r="L311" s="12"/>
      <c r="M311" s="12"/>
      <c r="N311" s="12"/>
      <c r="O311" s="12"/>
      <c r="P311" s="12"/>
      <c r="Q311" s="12"/>
      <c r="R311" s="12"/>
      <c r="S311" s="12"/>
    </row>
    <row r="312" spans="5:19" x14ac:dyDescent="0.25">
      <c r="E312" s="103"/>
      <c r="K312" s="12"/>
      <c r="L312" s="12"/>
      <c r="M312" s="12"/>
      <c r="N312" s="12"/>
      <c r="O312" s="12"/>
      <c r="P312" s="12"/>
      <c r="Q312" s="12"/>
      <c r="R312" s="12"/>
      <c r="S312" s="12"/>
    </row>
    <row r="313" spans="5:19" x14ac:dyDescent="0.25">
      <c r="E313" s="103"/>
      <c r="K313" s="12"/>
      <c r="L313" s="12"/>
      <c r="M313" s="12"/>
      <c r="N313" s="12"/>
      <c r="O313" s="12"/>
      <c r="P313" s="12"/>
      <c r="Q313" s="12"/>
      <c r="R313" s="12"/>
      <c r="S313" s="12"/>
    </row>
    <row r="314" spans="5:19" x14ac:dyDescent="0.25">
      <c r="E314" s="103"/>
      <c r="K314" s="12"/>
      <c r="L314" s="12"/>
      <c r="M314" s="12"/>
      <c r="N314" s="12"/>
      <c r="O314" s="12"/>
      <c r="P314" s="12"/>
      <c r="Q314" s="12"/>
      <c r="R314" s="12"/>
      <c r="S314" s="12"/>
    </row>
    <row r="315" spans="5:19" x14ac:dyDescent="0.25">
      <c r="E315" s="103"/>
      <c r="K315" s="12"/>
      <c r="L315" s="12"/>
      <c r="M315" s="12"/>
      <c r="N315" s="12"/>
      <c r="O315" s="12"/>
      <c r="P315" s="12"/>
      <c r="Q315" s="12"/>
      <c r="R315" s="12"/>
      <c r="S315" s="12"/>
    </row>
    <row r="316" spans="5:19" x14ac:dyDescent="0.25">
      <c r="E316" s="103"/>
      <c r="K316" s="12"/>
      <c r="L316" s="12"/>
      <c r="M316" s="12"/>
      <c r="N316" s="12"/>
      <c r="O316" s="12"/>
      <c r="P316" s="12"/>
      <c r="Q316" s="12"/>
      <c r="R316" s="12"/>
      <c r="S316" s="12"/>
    </row>
    <row r="317" spans="5:19" x14ac:dyDescent="0.25">
      <c r="E317" s="103"/>
      <c r="K317" s="12"/>
      <c r="L317" s="12"/>
      <c r="M317" s="12"/>
      <c r="N317" s="12"/>
      <c r="O317" s="12"/>
      <c r="P317" s="12"/>
      <c r="Q317" s="12"/>
      <c r="R317" s="12"/>
      <c r="S317" s="12"/>
    </row>
    <row r="318" spans="5:19" x14ac:dyDescent="0.25">
      <c r="E318" s="103"/>
      <c r="K318" s="12"/>
      <c r="L318" s="12"/>
      <c r="M318" s="12"/>
      <c r="N318" s="12"/>
      <c r="O318" s="12"/>
      <c r="P318" s="12"/>
      <c r="Q318" s="12"/>
      <c r="R318" s="12"/>
      <c r="S318" s="12"/>
    </row>
    <row r="319" spans="5:19" x14ac:dyDescent="0.25">
      <c r="E319" s="103"/>
      <c r="K319" s="12"/>
      <c r="L319" s="12"/>
      <c r="M319" s="12"/>
      <c r="N319" s="12"/>
      <c r="O319" s="12"/>
      <c r="P319" s="12"/>
      <c r="Q319" s="12"/>
      <c r="R319" s="12"/>
      <c r="S319" s="12"/>
    </row>
    <row r="320" spans="5:19" x14ac:dyDescent="0.25">
      <c r="E320" s="103"/>
      <c r="K320" s="12"/>
      <c r="L320" s="12"/>
      <c r="M320" s="12"/>
      <c r="N320" s="12"/>
      <c r="O320" s="12"/>
      <c r="P320" s="12"/>
      <c r="Q320" s="12"/>
      <c r="R320" s="12"/>
      <c r="S320" s="12"/>
    </row>
    <row r="321" spans="5:19" x14ac:dyDescent="0.25">
      <c r="E321" s="103"/>
      <c r="K321" s="12"/>
      <c r="L321" s="12"/>
      <c r="M321" s="12"/>
      <c r="N321" s="12"/>
      <c r="O321" s="12"/>
      <c r="P321" s="12"/>
      <c r="Q321" s="12"/>
      <c r="R321" s="12"/>
      <c r="S321" s="12"/>
    </row>
    <row r="322" spans="5:19" x14ac:dyDescent="0.25">
      <c r="E322" s="103"/>
      <c r="K322" s="12"/>
      <c r="L322" s="12"/>
      <c r="M322" s="12"/>
      <c r="N322" s="12"/>
      <c r="O322" s="12"/>
      <c r="P322" s="12"/>
      <c r="Q322" s="12"/>
      <c r="R322" s="12"/>
      <c r="S322" s="12"/>
    </row>
    <row r="323" spans="5:19" x14ac:dyDescent="0.25">
      <c r="E323" s="103"/>
      <c r="K323" s="12"/>
      <c r="L323" s="12"/>
      <c r="M323" s="12"/>
      <c r="N323" s="12"/>
      <c r="O323" s="12"/>
      <c r="P323" s="12"/>
      <c r="Q323" s="12"/>
      <c r="R323" s="12"/>
      <c r="S323" s="12"/>
    </row>
    <row r="324" spans="5:19" x14ac:dyDescent="0.25">
      <c r="E324" s="103"/>
      <c r="K324" s="12"/>
      <c r="L324" s="12"/>
      <c r="M324" s="12"/>
      <c r="N324" s="12"/>
      <c r="O324" s="12"/>
      <c r="P324" s="12"/>
      <c r="Q324" s="12"/>
      <c r="R324" s="12"/>
      <c r="S324" s="12"/>
    </row>
    <row r="325" spans="5:19" x14ac:dyDescent="0.25">
      <c r="E325" s="103"/>
      <c r="K325" s="12"/>
      <c r="L325" s="12"/>
      <c r="M325" s="12"/>
      <c r="N325" s="12"/>
      <c r="O325" s="12"/>
      <c r="P325" s="12"/>
      <c r="Q325" s="12"/>
      <c r="R325" s="12"/>
      <c r="S325" s="12"/>
    </row>
    <row r="326" spans="5:19" x14ac:dyDescent="0.25">
      <c r="E326" s="103"/>
      <c r="K326" s="12"/>
      <c r="L326" s="12"/>
      <c r="M326" s="12"/>
      <c r="N326" s="12"/>
      <c r="O326" s="12"/>
      <c r="P326" s="12"/>
      <c r="Q326" s="12"/>
      <c r="R326" s="12"/>
      <c r="S326" s="12"/>
    </row>
    <row r="327" spans="5:19" x14ac:dyDescent="0.25">
      <c r="E327" s="103"/>
      <c r="K327" s="12"/>
      <c r="L327" s="12"/>
      <c r="M327" s="12"/>
      <c r="N327" s="12"/>
      <c r="O327" s="12"/>
      <c r="P327" s="12"/>
      <c r="Q327" s="12"/>
      <c r="R327" s="12"/>
      <c r="S327" s="12"/>
    </row>
    <row r="328" spans="5:19" x14ac:dyDescent="0.25">
      <c r="E328" s="103"/>
      <c r="K328" s="12"/>
      <c r="L328" s="12"/>
      <c r="M328" s="12"/>
      <c r="N328" s="12"/>
      <c r="O328" s="12"/>
      <c r="P328" s="12"/>
      <c r="Q328" s="12"/>
      <c r="R328" s="12"/>
      <c r="S328" s="12"/>
    </row>
    <row r="329" spans="5:19" x14ac:dyDescent="0.25">
      <c r="E329" s="103"/>
      <c r="K329" s="12"/>
      <c r="L329" s="12"/>
      <c r="M329" s="12"/>
      <c r="N329" s="12"/>
      <c r="O329" s="12"/>
      <c r="P329" s="12"/>
      <c r="Q329" s="12"/>
      <c r="R329" s="12"/>
      <c r="S329" s="12"/>
    </row>
    <row r="330" spans="5:19" x14ac:dyDescent="0.25">
      <c r="E330" s="103"/>
      <c r="K330" s="12"/>
      <c r="L330" s="12"/>
      <c r="M330" s="12"/>
      <c r="N330" s="12"/>
      <c r="O330" s="12"/>
      <c r="P330" s="12"/>
      <c r="Q330" s="12"/>
      <c r="R330" s="12"/>
      <c r="S330" s="12"/>
    </row>
    <row r="331" spans="5:19" x14ac:dyDescent="0.25">
      <c r="E331" s="103"/>
      <c r="K331" s="12"/>
      <c r="L331" s="12"/>
      <c r="M331" s="12"/>
      <c r="N331" s="12"/>
      <c r="O331" s="12"/>
      <c r="P331" s="12"/>
      <c r="Q331" s="12"/>
      <c r="R331" s="12"/>
      <c r="S331" s="12"/>
    </row>
    <row r="332" spans="5:19" x14ac:dyDescent="0.25">
      <c r="E332" s="103"/>
      <c r="K332" s="12"/>
      <c r="L332" s="12"/>
      <c r="M332" s="12"/>
      <c r="N332" s="12"/>
      <c r="O332" s="12"/>
      <c r="P332" s="12"/>
      <c r="Q332" s="12"/>
      <c r="R332" s="12"/>
      <c r="S332" s="12"/>
    </row>
    <row r="333" spans="5:19" x14ac:dyDescent="0.25">
      <c r="E333" s="103"/>
      <c r="K333" s="12"/>
      <c r="L333" s="12"/>
      <c r="M333" s="12"/>
      <c r="N333" s="12"/>
      <c r="O333" s="12"/>
      <c r="P333" s="12"/>
      <c r="Q333" s="12"/>
      <c r="R333" s="12"/>
      <c r="S333" s="12"/>
    </row>
    <row r="334" spans="5:19" x14ac:dyDescent="0.25">
      <c r="E334" s="103"/>
      <c r="K334" s="12"/>
      <c r="L334" s="12"/>
      <c r="M334" s="12"/>
      <c r="N334" s="12"/>
      <c r="O334" s="12"/>
      <c r="P334" s="12"/>
      <c r="Q334" s="12"/>
      <c r="R334" s="12"/>
      <c r="S334" s="12"/>
    </row>
    <row r="335" spans="5:19" x14ac:dyDescent="0.25">
      <c r="E335" s="103"/>
      <c r="K335" s="12"/>
      <c r="L335" s="12"/>
      <c r="M335" s="12"/>
      <c r="N335" s="12"/>
      <c r="O335" s="12"/>
      <c r="P335" s="12"/>
      <c r="Q335" s="12"/>
      <c r="R335" s="12"/>
      <c r="S335" s="12"/>
    </row>
    <row r="336" spans="5:19" x14ac:dyDescent="0.25">
      <c r="E336" s="103"/>
      <c r="K336" s="12"/>
      <c r="L336" s="12"/>
      <c r="M336" s="12"/>
      <c r="N336" s="12"/>
      <c r="O336" s="12"/>
      <c r="P336" s="12"/>
      <c r="Q336" s="12"/>
      <c r="R336" s="12"/>
      <c r="S336" s="12"/>
    </row>
    <row r="337" spans="5:19" x14ac:dyDescent="0.25">
      <c r="E337" s="103"/>
      <c r="K337" s="12"/>
      <c r="L337" s="12"/>
      <c r="M337" s="12"/>
      <c r="N337" s="12"/>
      <c r="O337" s="12"/>
      <c r="P337" s="12"/>
      <c r="Q337" s="12"/>
      <c r="R337" s="12"/>
      <c r="S337" s="12"/>
    </row>
    <row r="338" spans="5:19" x14ac:dyDescent="0.25">
      <c r="E338" s="103"/>
      <c r="K338" s="12"/>
      <c r="L338" s="12"/>
      <c r="M338" s="12"/>
      <c r="N338" s="12"/>
      <c r="O338" s="12"/>
      <c r="P338" s="12"/>
      <c r="Q338" s="12"/>
      <c r="R338" s="12"/>
      <c r="S338" s="12"/>
    </row>
    <row r="339" spans="5:19" x14ac:dyDescent="0.25">
      <c r="E339" s="103"/>
      <c r="K339" s="12"/>
      <c r="L339" s="12"/>
      <c r="M339" s="12"/>
      <c r="N339" s="12"/>
      <c r="O339" s="12"/>
      <c r="P339" s="12"/>
      <c r="Q339" s="12"/>
      <c r="R339" s="12"/>
      <c r="S339" s="12"/>
    </row>
    <row r="340" spans="5:19" x14ac:dyDescent="0.25">
      <c r="E340" s="103"/>
      <c r="K340" s="12"/>
      <c r="L340" s="12"/>
      <c r="M340" s="12"/>
      <c r="N340" s="12"/>
      <c r="O340" s="12"/>
      <c r="P340" s="12"/>
      <c r="Q340" s="12"/>
      <c r="R340" s="12"/>
      <c r="S340" s="12"/>
    </row>
    <row r="341" spans="5:19" x14ac:dyDescent="0.25">
      <c r="E341" s="103"/>
      <c r="K341" s="12"/>
      <c r="L341" s="12"/>
      <c r="M341" s="12"/>
      <c r="N341" s="12"/>
      <c r="O341" s="12"/>
      <c r="P341" s="12"/>
      <c r="Q341" s="12"/>
      <c r="R341" s="12"/>
      <c r="S341" s="12"/>
    </row>
    <row r="342" spans="5:19" x14ac:dyDescent="0.25">
      <c r="E342" s="103"/>
      <c r="K342" s="12"/>
      <c r="L342" s="12"/>
      <c r="M342" s="12"/>
      <c r="N342" s="12"/>
      <c r="O342" s="12"/>
      <c r="P342" s="12"/>
      <c r="Q342" s="12"/>
      <c r="R342" s="12"/>
      <c r="S342" s="12"/>
    </row>
    <row r="343" spans="5:19" x14ac:dyDescent="0.25">
      <c r="E343" s="103"/>
      <c r="K343" s="12"/>
      <c r="L343" s="12"/>
      <c r="M343" s="12"/>
      <c r="N343" s="12"/>
      <c r="O343" s="12"/>
      <c r="P343" s="12"/>
      <c r="Q343" s="12"/>
      <c r="R343" s="12"/>
      <c r="S343" s="12"/>
    </row>
    <row r="344" spans="5:19" x14ac:dyDescent="0.25">
      <c r="E344" s="103"/>
      <c r="K344" s="12"/>
      <c r="L344" s="12"/>
      <c r="M344" s="12"/>
      <c r="N344" s="12"/>
      <c r="O344" s="12"/>
      <c r="P344" s="12"/>
      <c r="Q344" s="12"/>
      <c r="R344" s="12"/>
      <c r="S344" s="12"/>
    </row>
    <row r="345" spans="5:19" x14ac:dyDescent="0.25">
      <c r="E345" s="103"/>
      <c r="K345" s="12"/>
      <c r="L345" s="12"/>
      <c r="M345" s="12"/>
      <c r="N345" s="12"/>
      <c r="O345" s="12"/>
      <c r="P345" s="12"/>
      <c r="Q345" s="12"/>
      <c r="R345" s="12"/>
      <c r="S345" s="12"/>
    </row>
    <row r="346" spans="5:19" x14ac:dyDescent="0.25">
      <c r="E346" s="103"/>
      <c r="K346" s="12"/>
      <c r="L346" s="12"/>
      <c r="M346" s="12"/>
      <c r="N346" s="12"/>
      <c r="O346" s="12"/>
      <c r="P346" s="12"/>
      <c r="Q346" s="12"/>
      <c r="R346" s="12"/>
      <c r="S346" s="12"/>
    </row>
    <row r="347" spans="5:19" x14ac:dyDescent="0.25">
      <c r="E347" s="103"/>
      <c r="K347" s="12"/>
      <c r="L347" s="12"/>
      <c r="M347" s="12"/>
      <c r="N347" s="12"/>
      <c r="O347" s="12"/>
      <c r="P347" s="12"/>
      <c r="Q347" s="12"/>
      <c r="R347" s="12"/>
      <c r="S347" s="12"/>
    </row>
    <row r="348" spans="5:19" x14ac:dyDescent="0.25">
      <c r="E348" s="103"/>
      <c r="K348" s="12"/>
      <c r="L348" s="12"/>
      <c r="M348" s="12"/>
      <c r="N348" s="12"/>
      <c r="O348" s="12"/>
      <c r="P348" s="12"/>
      <c r="Q348" s="12"/>
      <c r="R348" s="12"/>
      <c r="S348" s="12"/>
    </row>
    <row r="349" spans="5:19" x14ac:dyDescent="0.25">
      <c r="E349" s="103"/>
      <c r="K349" s="12"/>
      <c r="L349" s="12"/>
      <c r="M349" s="12"/>
      <c r="N349" s="12"/>
      <c r="O349" s="12"/>
      <c r="P349" s="12"/>
      <c r="Q349" s="12"/>
      <c r="R349" s="12"/>
      <c r="S349" s="12"/>
    </row>
    <row r="350" spans="5:19" x14ac:dyDescent="0.25">
      <c r="E350" s="103"/>
      <c r="K350" s="12"/>
      <c r="L350" s="12"/>
      <c r="M350" s="12"/>
      <c r="N350" s="12"/>
      <c r="O350" s="12"/>
      <c r="P350" s="12"/>
      <c r="Q350" s="12"/>
      <c r="R350" s="12"/>
      <c r="S350" s="12"/>
    </row>
    <row r="351" spans="5:19" x14ac:dyDescent="0.25">
      <c r="E351" s="103"/>
      <c r="K351" s="12"/>
      <c r="L351" s="12"/>
      <c r="M351" s="12"/>
      <c r="N351" s="12"/>
      <c r="O351" s="12"/>
      <c r="P351" s="12"/>
      <c r="Q351" s="12"/>
      <c r="R351" s="12"/>
      <c r="S351" s="12"/>
    </row>
    <row r="352" spans="5:19" x14ac:dyDescent="0.25">
      <c r="E352" s="103"/>
      <c r="K352" s="12"/>
      <c r="L352" s="12"/>
      <c r="M352" s="12"/>
      <c r="N352" s="12"/>
      <c r="O352" s="12"/>
      <c r="P352" s="12"/>
      <c r="Q352" s="12"/>
      <c r="R352" s="12"/>
      <c r="S352" s="12"/>
    </row>
    <row r="353" spans="5:19" x14ac:dyDescent="0.25">
      <c r="E353" s="103"/>
      <c r="K353" s="12"/>
      <c r="L353" s="12"/>
      <c r="M353" s="12"/>
      <c r="N353" s="12"/>
      <c r="O353" s="12"/>
      <c r="P353" s="12"/>
      <c r="Q353" s="12"/>
      <c r="R353" s="12"/>
      <c r="S353" s="12"/>
    </row>
    <row r="354" spans="5:19" x14ac:dyDescent="0.25">
      <c r="E354" s="103"/>
      <c r="K354" s="12"/>
      <c r="L354" s="12"/>
      <c r="M354" s="12"/>
      <c r="N354" s="12"/>
      <c r="O354" s="12"/>
      <c r="P354" s="12"/>
      <c r="Q354" s="12"/>
      <c r="R354" s="12"/>
      <c r="S354" s="12"/>
    </row>
    <row r="355" spans="5:19" x14ac:dyDescent="0.25">
      <c r="E355" s="103"/>
      <c r="K355" s="12"/>
      <c r="L355" s="12"/>
      <c r="M355" s="12"/>
      <c r="N355" s="12"/>
      <c r="O355" s="12"/>
      <c r="P355" s="12"/>
      <c r="Q355" s="12"/>
      <c r="R355" s="12"/>
      <c r="S355" s="12"/>
    </row>
    <row r="356" spans="5:19" x14ac:dyDescent="0.25">
      <c r="E356" s="103"/>
      <c r="K356" s="12"/>
      <c r="L356" s="12"/>
      <c r="M356" s="12"/>
      <c r="N356" s="12"/>
      <c r="O356" s="12"/>
      <c r="P356" s="12"/>
      <c r="Q356" s="12"/>
      <c r="R356" s="12"/>
      <c r="S356" s="12"/>
    </row>
    <row r="357" spans="5:19" x14ac:dyDescent="0.25">
      <c r="E357" s="103"/>
      <c r="K357" s="12"/>
      <c r="L357" s="12"/>
      <c r="M357" s="12"/>
      <c r="N357" s="12"/>
      <c r="O357" s="12"/>
      <c r="P357" s="12"/>
      <c r="Q357" s="12"/>
      <c r="R357" s="12"/>
      <c r="S357" s="12"/>
    </row>
    <row r="358" spans="5:19" x14ac:dyDescent="0.25">
      <c r="E358" s="103"/>
      <c r="K358" s="12"/>
      <c r="L358" s="12"/>
      <c r="M358" s="12"/>
      <c r="N358" s="12"/>
      <c r="O358" s="12"/>
      <c r="P358" s="12"/>
      <c r="Q358" s="12"/>
      <c r="R358" s="12"/>
      <c r="S358" s="12"/>
    </row>
    <row r="359" spans="5:19" x14ac:dyDescent="0.25">
      <c r="E359" s="103"/>
      <c r="K359" s="12"/>
      <c r="L359" s="12"/>
      <c r="M359" s="12"/>
      <c r="N359" s="12"/>
      <c r="O359" s="12"/>
      <c r="P359" s="12"/>
      <c r="Q359" s="12"/>
      <c r="R359" s="12"/>
      <c r="S359" s="12"/>
    </row>
    <row r="360" spans="5:19" x14ac:dyDescent="0.25">
      <c r="E360" s="103"/>
      <c r="K360" s="12"/>
      <c r="L360" s="12"/>
      <c r="M360" s="12"/>
      <c r="N360" s="12"/>
      <c r="O360" s="12"/>
      <c r="P360" s="12"/>
      <c r="Q360" s="12"/>
      <c r="R360" s="12"/>
      <c r="S360" s="12"/>
    </row>
    <row r="361" spans="5:19" x14ac:dyDescent="0.25">
      <c r="E361" s="103"/>
      <c r="K361" s="12"/>
      <c r="L361" s="12"/>
      <c r="M361" s="12"/>
      <c r="N361" s="12"/>
      <c r="O361" s="12"/>
      <c r="P361" s="12"/>
      <c r="Q361" s="12"/>
      <c r="R361" s="12"/>
      <c r="S361" s="12"/>
    </row>
    <row r="362" spans="5:19" x14ac:dyDescent="0.25">
      <c r="E362" s="103"/>
      <c r="K362" s="12"/>
      <c r="L362" s="12"/>
      <c r="M362" s="12"/>
      <c r="N362" s="12"/>
      <c r="O362" s="12"/>
      <c r="P362" s="12"/>
      <c r="Q362" s="12"/>
      <c r="R362" s="12"/>
      <c r="S362" s="12"/>
    </row>
    <row r="363" spans="5:19" x14ac:dyDescent="0.25">
      <c r="E363" s="103"/>
      <c r="K363" s="12"/>
      <c r="L363" s="12"/>
      <c r="M363" s="12"/>
      <c r="N363" s="12"/>
      <c r="O363" s="12"/>
      <c r="P363" s="12"/>
      <c r="Q363" s="12"/>
      <c r="R363" s="12"/>
      <c r="S363" s="12"/>
    </row>
    <row r="364" spans="5:19" x14ac:dyDescent="0.25">
      <c r="E364" s="103"/>
      <c r="K364" s="12"/>
      <c r="L364" s="12"/>
      <c r="M364" s="12"/>
      <c r="N364" s="12"/>
      <c r="O364" s="12"/>
      <c r="P364" s="12"/>
      <c r="Q364" s="12"/>
      <c r="R364" s="12"/>
      <c r="S364" s="12"/>
    </row>
    <row r="365" spans="5:19" x14ac:dyDescent="0.25">
      <c r="E365" s="103"/>
      <c r="K365" s="12"/>
      <c r="L365" s="12"/>
      <c r="M365" s="12"/>
      <c r="N365" s="12"/>
      <c r="O365" s="12"/>
      <c r="P365" s="12"/>
      <c r="Q365" s="12"/>
      <c r="R365" s="12"/>
      <c r="S365" s="12"/>
    </row>
    <row r="366" spans="5:19" x14ac:dyDescent="0.25">
      <c r="E366" s="103"/>
      <c r="K366" s="12"/>
      <c r="L366" s="12"/>
      <c r="M366" s="12"/>
      <c r="N366" s="12"/>
      <c r="O366" s="12"/>
      <c r="P366" s="12"/>
      <c r="Q366" s="12"/>
      <c r="R366" s="12"/>
      <c r="S366" s="12"/>
    </row>
    <row r="367" spans="5:19" x14ac:dyDescent="0.25">
      <c r="E367" s="103"/>
      <c r="K367" s="12"/>
      <c r="L367" s="12"/>
      <c r="M367" s="12"/>
      <c r="N367" s="12"/>
      <c r="O367" s="12"/>
      <c r="P367" s="12"/>
      <c r="Q367" s="12"/>
      <c r="R367" s="12"/>
      <c r="S367" s="12"/>
    </row>
    <row r="368" spans="5:19" x14ac:dyDescent="0.25">
      <c r="E368" s="103"/>
      <c r="K368" s="12"/>
      <c r="L368" s="12"/>
      <c r="M368" s="12"/>
      <c r="N368" s="12"/>
      <c r="O368" s="12"/>
      <c r="P368" s="12"/>
      <c r="Q368" s="12"/>
      <c r="R368" s="12"/>
      <c r="S368" s="12"/>
    </row>
    <row r="369" spans="5:19" x14ac:dyDescent="0.25">
      <c r="E369" s="103"/>
      <c r="K369" s="12"/>
      <c r="L369" s="12"/>
      <c r="M369" s="12"/>
      <c r="N369" s="12"/>
      <c r="O369" s="12"/>
      <c r="P369" s="12"/>
      <c r="Q369" s="12"/>
      <c r="R369" s="12"/>
      <c r="S369" s="12"/>
    </row>
    <row r="370" spans="5:19" x14ac:dyDescent="0.25">
      <c r="E370" s="103"/>
      <c r="K370" s="12"/>
      <c r="L370" s="12"/>
      <c r="M370" s="12"/>
      <c r="N370" s="12"/>
      <c r="O370" s="12"/>
      <c r="P370" s="12"/>
      <c r="Q370" s="12"/>
      <c r="R370" s="12"/>
      <c r="S370" s="12"/>
    </row>
    <row r="371" spans="5:19" x14ac:dyDescent="0.25">
      <c r="E371" s="103"/>
      <c r="K371" s="12"/>
      <c r="L371" s="12"/>
      <c r="M371" s="12"/>
      <c r="N371" s="12"/>
      <c r="O371" s="12"/>
      <c r="P371" s="12"/>
      <c r="Q371" s="12"/>
      <c r="R371" s="12"/>
      <c r="S371" s="12"/>
    </row>
    <row r="372" spans="5:19" x14ac:dyDescent="0.25">
      <c r="E372" s="103"/>
      <c r="K372" s="12"/>
      <c r="L372" s="12"/>
      <c r="M372" s="12"/>
      <c r="N372" s="12"/>
      <c r="O372" s="12"/>
      <c r="P372" s="12"/>
      <c r="Q372" s="12"/>
      <c r="R372" s="12"/>
      <c r="S372" s="12"/>
    </row>
    <row r="373" spans="5:19" x14ac:dyDescent="0.25">
      <c r="E373" s="103"/>
      <c r="K373" s="12"/>
      <c r="L373" s="12"/>
      <c r="M373" s="12"/>
      <c r="N373" s="12"/>
      <c r="O373" s="12"/>
      <c r="P373" s="12"/>
      <c r="Q373" s="12"/>
      <c r="R373" s="12"/>
      <c r="S373" s="12"/>
    </row>
    <row r="374" spans="5:19" x14ac:dyDescent="0.25">
      <c r="E374" s="103"/>
      <c r="K374" s="12"/>
      <c r="L374" s="12"/>
      <c r="M374" s="12"/>
      <c r="N374" s="12"/>
      <c r="O374" s="12"/>
      <c r="P374" s="12"/>
      <c r="Q374" s="12"/>
      <c r="R374" s="12"/>
      <c r="S374" s="12"/>
    </row>
    <row r="375" spans="5:19" x14ac:dyDescent="0.25">
      <c r="E375" s="103"/>
      <c r="K375" s="12"/>
      <c r="L375" s="12"/>
      <c r="M375" s="12"/>
      <c r="N375" s="12"/>
      <c r="O375" s="12"/>
      <c r="P375" s="12"/>
      <c r="Q375" s="12"/>
      <c r="R375" s="12"/>
      <c r="S375" s="12"/>
    </row>
    <row r="376" spans="5:19" x14ac:dyDescent="0.25">
      <c r="E376" s="103"/>
      <c r="K376" s="12"/>
      <c r="L376" s="12"/>
      <c r="M376" s="12"/>
      <c r="N376" s="12"/>
      <c r="O376" s="12"/>
      <c r="P376" s="12"/>
      <c r="Q376" s="12"/>
      <c r="R376" s="12"/>
      <c r="S376" s="12"/>
    </row>
    <row r="377" spans="5:19" x14ac:dyDescent="0.25">
      <c r="E377" s="103"/>
      <c r="K377" s="12"/>
      <c r="L377" s="12"/>
      <c r="M377" s="12"/>
      <c r="N377" s="12"/>
      <c r="O377" s="12"/>
      <c r="P377" s="12"/>
      <c r="Q377" s="12"/>
      <c r="R377" s="12"/>
      <c r="S377" s="12"/>
    </row>
    <row r="378" spans="5:19" x14ac:dyDescent="0.25">
      <c r="E378" s="103"/>
      <c r="K378" s="12"/>
      <c r="L378" s="12"/>
      <c r="M378" s="12"/>
      <c r="N378" s="12"/>
      <c r="O378" s="12"/>
      <c r="P378" s="12"/>
      <c r="Q378" s="12"/>
      <c r="R378" s="12"/>
      <c r="S378" s="12"/>
    </row>
    <row r="379" spans="5:19" x14ac:dyDescent="0.25">
      <c r="E379" s="103"/>
      <c r="K379" s="12"/>
      <c r="L379" s="12"/>
      <c r="M379" s="12"/>
      <c r="N379" s="12"/>
      <c r="O379" s="12"/>
      <c r="P379" s="12"/>
      <c r="Q379" s="12"/>
      <c r="R379" s="12"/>
      <c r="S379" s="12"/>
    </row>
    <row r="380" spans="5:19" x14ac:dyDescent="0.25">
      <c r="E380" s="103"/>
      <c r="K380" s="12"/>
      <c r="L380" s="12"/>
      <c r="M380" s="12"/>
      <c r="N380" s="12"/>
      <c r="O380" s="12"/>
      <c r="P380" s="12"/>
      <c r="Q380" s="12"/>
      <c r="R380" s="12"/>
      <c r="S380" s="12"/>
    </row>
    <row r="381" spans="5:19" x14ac:dyDescent="0.25">
      <c r="E381" s="103"/>
      <c r="K381" s="12"/>
      <c r="L381" s="12"/>
      <c r="M381" s="12"/>
      <c r="N381" s="12"/>
      <c r="O381" s="12"/>
      <c r="P381" s="12"/>
      <c r="Q381" s="12"/>
      <c r="R381" s="12"/>
      <c r="S381" s="12"/>
    </row>
    <row r="382" spans="5:19" x14ac:dyDescent="0.25">
      <c r="E382" s="103"/>
      <c r="K382" s="12"/>
      <c r="L382" s="12"/>
      <c r="M382" s="12"/>
      <c r="N382" s="12"/>
      <c r="O382" s="12"/>
      <c r="P382" s="12"/>
      <c r="Q382" s="12"/>
      <c r="R382" s="12"/>
      <c r="S382" s="12"/>
    </row>
    <row r="383" spans="5:19" x14ac:dyDescent="0.25">
      <c r="E383" s="103"/>
      <c r="K383" s="12"/>
      <c r="L383" s="12"/>
      <c r="M383" s="12"/>
      <c r="N383" s="12"/>
      <c r="O383" s="12"/>
      <c r="P383" s="12"/>
      <c r="Q383" s="12"/>
      <c r="R383" s="12"/>
      <c r="S383" s="12"/>
    </row>
    <row r="384" spans="5:19" x14ac:dyDescent="0.25">
      <c r="E384" s="103"/>
      <c r="K384" s="12"/>
      <c r="L384" s="12"/>
      <c r="M384" s="12"/>
      <c r="N384" s="12"/>
      <c r="O384" s="12"/>
      <c r="P384" s="12"/>
      <c r="Q384" s="12"/>
      <c r="R384" s="12"/>
      <c r="S384" s="12"/>
    </row>
    <row r="385" spans="5:19" x14ac:dyDescent="0.25">
      <c r="E385" s="103"/>
      <c r="K385" s="12"/>
      <c r="L385" s="12"/>
      <c r="M385" s="12"/>
      <c r="N385" s="12"/>
      <c r="O385" s="12"/>
      <c r="P385" s="12"/>
      <c r="Q385" s="12"/>
      <c r="R385" s="12"/>
      <c r="S385" s="12"/>
    </row>
    <row r="386" spans="5:19" x14ac:dyDescent="0.25">
      <c r="E386" s="103"/>
      <c r="K386" s="12"/>
      <c r="L386" s="12"/>
      <c r="M386" s="12"/>
      <c r="N386" s="12"/>
      <c r="O386" s="12"/>
      <c r="P386" s="12"/>
      <c r="Q386" s="12"/>
      <c r="R386" s="12"/>
      <c r="S386" s="12"/>
    </row>
    <row r="387" spans="5:19" x14ac:dyDescent="0.25">
      <c r="E387" s="103"/>
      <c r="K387" s="12"/>
      <c r="L387" s="12"/>
      <c r="M387" s="12"/>
      <c r="N387" s="12"/>
      <c r="O387" s="12"/>
      <c r="P387" s="12"/>
      <c r="Q387" s="12"/>
      <c r="R387" s="12"/>
      <c r="S387" s="12"/>
    </row>
    <row r="388" spans="5:19" x14ac:dyDescent="0.25">
      <c r="E388" s="103"/>
      <c r="K388" s="12"/>
      <c r="L388" s="12"/>
      <c r="M388" s="12"/>
      <c r="N388" s="12"/>
      <c r="O388" s="12"/>
      <c r="P388" s="12"/>
      <c r="Q388" s="12"/>
      <c r="R388" s="12"/>
      <c r="S388" s="12"/>
    </row>
    <row r="389" spans="5:19" x14ac:dyDescent="0.25">
      <c r="E389" s="103"/>
      <c r="K389" s="12"/>
      <c r="L389" s="12"/>
      <c r="M389" s="12"/>
      <c r="N389" s="12"/>
      <c r="O389" s="12"/>
      <c r="P389" s="12"/>
      <c r="Q389" s="12"/>
      <c r="R389" s="12"/>
      <c r="S389" s="12"/>
    </row>
    <row r="390" spans="5:19" x14ac:dyDescent="0.25">
      <c r="E390" s="103"/>
      <c r="K390" s="12"/>
      <c r="L390" s="12"/>
      <c r="M390" s="12"/>
      <c r="N390" s="12"/>
      <c r="O390" s="12"/>
      <c r="P390" s="12"/>
      <c r="Q390" s="12"/>
      <c r="R390" s="12"/>
      <c r="S390" s="12"/>
    </row>
    <row r="391" spans="5:19" x14ac:dyDescent="0.25">
      <c r="E391" s="103"/>
      <c r="K391" s="12"/>
      <c r="L391" s="12"/>
      <c r="M391" s="12"/>
      <c r="N391" s="12"/>
      <c r="O391" s="12"/>
      <c r="P391" s="12"/>
      <c r="Q391" s="12"/>
      <c r="R391" s="12"/>
      <c r="S391" s="12"/>
    </row>
    <row r="392" spans="5:19" x14ac:dyDescent="0.25">
      <c r="E392" s="103"/>
      <c r="K392" s="12"/>
      <c r="L392" s="12"/>
      <c r="M392" s="12"/>
      <c r="N392" s="12"/>
      <c r="O392" s="12"/>
      <c r="P392" s="12"/>
      <c r="Q392" s="12"/>
      <c r="R392" s="12"/>
      <c r="S392" s="12"/>
    </row>
    <row r="393" spans="5:19" x14ac:dyDescent="0.25">
      <c r="E393" s="103"/>
      <c r="K393" s="12"/>
      <c r="L393" s="12"/>
      <c r="M393" s="12"/>
      <c r="N393" s="12"/>
      <c r="O393" s="12"/>
      <c r="P393" s="12"/>
      <c r="Q393" s="12"/>
      <c r="R393" s="12"/>
      <c r="S393" s="12"/>
    </row>
    <row r="394" spans="5:19" x14ac:dyDescent="0.25">
      <c r="E394" s="103"/>
      <c r="K394" s="12"/>
      <c r="L394" s="12"/>
      <c r="M394" s="12"/>
      <c r="N394" s="12"/>
      <c r="O394" s="12"/>
      <c r="P394" s="12"/>
      <c r="Q394" s="12"/>
      <c r="R394" s="12"/>
      <c r="S394" s="12"/>
    </row>
    <row r="395" spans="5:19" x14ac:dyDescent="0.25">
      <c r="E395" s="103"/>
      <c r="K395" s="12"/>
      <c r="L395" s="12"/>
      <c r="M395" s="12"/>
      <c r="N395" s="12"/>
      <c r="O395" s="12"/>
      <c r="P395" s="12"/>
      <c r="Q395" s="12"/>
      <c r="R395" s="12"/>
      <c r="S395" s="12"/>
    </row>
    <row r="396" spans="5:19" x14ac:dyDescent="0.25">
      <c r="E396" s="103"/>
      <c r="K396" s="12"/>
      <c r="L396" s="12"/>
      <c r="M396" s="12"/>
      <c r="N396" s="12"/>
      <c r="O396" s="12"/>
      <c r="P396" s="12"/>
      <c r="Q396" s="12"/>
      <c r="R396" s="12"/>
      <c r="S396" s="12"/>
    </row>
    <row r="397" spans="5:19" x14ac:dyDescent="0.25">
      <c r="E397" s="103"/>
      <c r="K397" s="12"/>
      <c r="L397" s="12"/>
      <c r="M397" s="12"/>
      <c r="N397" s="12"/>
      <c r="O397" s="12"/>
      <c r="P397" s="12"/>
      <c r="Q397" s="12"/>
      <c r="R397" s="12"/>
      <c r="S397" s="12"/>
    </row>
    <row r="398" spans="5:19" x14ac:dyDescent="0.25">
      <c r="E398" s="103"/>
      <c r="K398" s="12"/>
      <c r="L398" s="12"/>
      <c r="M398" s="12"/>
      <c r="N398" s="12"/>
      <c r="O398" s="12"/>
      <c r="P398" s="12"/>
      <c r="Q398" s="12"/>
      <c r="R398" s="12"/>
      <c r="S398" s="12"/>
    </row>
    <row r="399" spans="5:19" x14ac:dyDescent="0.25">
      <c r="E399" s="103"/>
      <c r="K399" s="12"/>
      <c r="L399" s="12"/>
      <c r="M399" s="12"/>
      <c r="N399" s="12"/>
      <c r="O399" s="12"/>
      <c r="P399" s="12"/>
      <c r="Q399" s="12"/>
      <c r="R399" s="12"/>
      <c r="S399" s="12"/>
    </row>
    <row r="400" spans="5:19" x14ac:dyDescent="0.25">
      <c r="E400" s="103"/>
      <c r="K400" s="12"/>
      <c r="L400" s="12"/>
      <c r="M400" s="12"/>
      <c r="N400" s="12"/>
      <c r="O400" s="12"/>
      <c r="P400" s="12"/>
      <c r="Q400" s="12"/>
      <c r="R400" s="12"/>
      <c r="S400" s="12"/>
    </row>
    <row r="401" spans="5:19" x14ac:dyDescent="0.25">
      <c r="E401" s="103"/>
      <c r="K401" s="12"/>
      <c r="L401" s="12"/>
      <c r="M401" s="12"/>
      <c r="N401" s="12"/>
      <c r="O401" s="12"/>
      <c r="P401" s="12"/>
      <c r="Q401" s="12"/>
      <c r="R401" s="12"/>
      <c r="S401" s="12"/>
    </row>
    <row r="402" spans="5:19" x14ac:dyDescent="0.25">
      <c r="E402" s="103"/>
      <c r="K402" s="12"/>
      <c r="L402" s="12"/>
      <c r="M402" s="12"/>
      <c r="N402" s="12"/>
      <c r="O402" s="12"/>
      <c r="P402" s="12"/>
      <c r="Q402" s="12"/>
      <c r="R402" s="12"/>
      <c r="S402" s="12"/>
    </row>
    <row r="403" spans="5:19" x14ac:dyDescent="0.25">
      <c r="E403" s="103"/>
      <c r="K403" s="12"/>
      <c r="L403" s="12"/>
      <c r="M403" s="12"/>
      <c r="N403" s="12"/>
      <c r="O403" s="12"/>
      <c r="P403" s="12"/>
      <c r="Q403" s="12"/>
      <c r="R403" s="12"/>
      <c r="S403" s="12"/>
    </row>
    <row r="404" spans="5:19" x14ac:dyDescent="0.25">
      <c r="E404" s="103"/>
      <c r="K404" s="12"/>
      <c r="L404" s="12"/>
      <c r="M404" s="12"/>
      <c r="N404" s="12"/>
      <c r="O404" s="12"/>
      <c r="P404" s="12"/>
      <c r="Q404" s="12"/>
      <c r="R404" s="12"/>
      <c r="S404" s="12"/>
    </row>
    <row r="405" spans="5:19" x14ac:dyDescent="0.25">
      <c r="E405" s="103"/>
      <c r="K405" s="12"/>
      <c r="L405" s="12"/>
      <c r="M405" s="12"/>
      <c r="N405" s="12"/>
      <c r="O405" s="12"/>
      <c r="P405" s="12"/>
      <c r="Q405" s="12"/>
      <c r="R405" s="12"/>
      <c r="S405" s="12"/>
    </row>
    <row r="406" spans="5:19" x14ac:dyDescent="0.25">
      <c r="E406" s="103"/>
      <c r="K406" s="12"/>
      <c r="L406" s="12"/>
      <c r="M406" s="12"/>
      <c r="N406" s="12"/>
      <c r="O406" s="12"/>
      <c r="P406" s="12"/>
      <c r="Q406" s="12"/>
      <c r="R406" s="12"/>
      <c r="S406" s="12"/>
    </row>
    <row r="407" spans="5:19" x14ac:dyDescent="0.25">
      <c r="E407" s="103"/>
      <c r="K407" s="12"/>
      <c r="L407" s="12"/>
      <c r="M407" s="12"/>
      <c r="N407" s="12"/>
      <c r="O407" s="12"/>
      <c r="P407" s="12"/>
      <c r="Q407" s="12"/>
      <c r="R407" s="12"/>
      <c r="S407" s="12"/>
    </row>
    <row r="408" spans="5:19" x14ac:dyDescent="0.25">
      <c r="E408" s="103"/>
      <c r="K408" s="12"/>
      <c r="L408" s="12"/>
      <c r="M408" s="12"/>
      <c r="N408" s="12"/>
      <c r="O408" s="12"/>
      <c r="P408" s="12"/>
      <c r="Q408" s="12"/>
      <c r="R408" s="12"/>
      <c r="S408" s="12"/>
    </row>
    <row r="409" spans="5:19" x14ac:dyDescent="0.25">
      <c r="E409" s="103"/>
      <c r="K409" s="12"/>
      <c r="L409" s="12"/>
      <c r="M409" s="12"/>
      <c r="N409" s="12"/>
      <c r="O409" s="12"/>
      <c r="P409" s="12"/>
      <c r="Q409" s="12"/>
      <c r="R409" s="12"/>
      <c r="S409" s="12"/>
    </row>
    <row r="410" spans="5:19" x14ac:dyDescent="0.25">
      <c r="E410" s="103"/>
      <c r="K410" s="12"/>
      <c r="L410" s="12"/>
      <c r="M410" s="12"/>
      <c r="N410" s="12"/>
      <c r="O410" s="12"/>
      <c r="P410" s="12"/>
      <c r="Q410" s="12"/>
      <c r="R410" s="12"/>
      <c r="S410" s="12"/>
    </row>
    <row r="411" spans="5:19" x14ac:dyDescent="0.25">
      <c r="E411" s="103"/>
      <c r="K411" s="12"/>
      <c r="L411" s="12"/>
      <c r="M411" s="12"/>
      <c r="N411" s="12"/>
      <c r="O411" s="12"/>
      <c r="P411" s="12"/>
      <c r="Q411" s="12"/>
      <c r="R411" s="12"/>
      <c r="S411" s="12"/>
    </row>
    <row r="412" spans="5:19" x14ac:dyDescent="0.25">
      <c r="E412" s="103"/>
      <c r="K412" s="12"/>
      <c r="L412" s="12"/>
      <c r="M412" s="12"/>
      <c r="N412" s="12"/>
      <c r="O412" s="12"/>
      <c r="P412" s="12"/>
      <c r="Q412" s="12"/>
      <c r="R412" s="12"/>
      <c r="S412" s="12"/>
    </row>
    <row r="413" spans="5:19" x14ac:dyDescent="0.25">
      <c r="E413" s="103"/>
      <c r="K413" s="12"/>
      <c r="L413" s="12"/>
      <c r="M413" s="12"/>
      <c r="N413" s="12"/>
      <c r="O413" s="12"/>
      <c r="P413" s="12"/>
      <c r="Q413" s="12"/>
      <c r="R413" s="12"/>
      <c r="S413" s="12"/>
    </row>
    <row r="414" spans="5:19" x14ac:dyDescent="0.25">
      <c r="E414" s="103"/>
      <c r="K414" s="12"/>
      <c r="L414" s="12"/>
      <c r="M414" s="12"/>
      <c r="N414" s="12"/>
      <c r="O414" s="12"/>
      <c r="P414" s="12"/>
      <c r="Q414" s="12"/>
      <c r="R414" s="12"/>
      <c r="S414" s="12"/>
    </row>
    <row r="415" spans="5:19" x14ac:dyDescent="0.25">
      <c r="E415" s="103"/>
      <c r="K415" s="12"/>
      <c r="L415" s="12"/>
      <c r="M415" s="12"/>
      <c r="N415" s="12"/>
      <c r="O415" s="12"/>
      <c r="P415" s="12"/>
      <c r="Q415" s="12"/>
      <c r="R415" s="12"/>
      <c r="S415" s="12"/>
    </row>
    <row r="416" spans="5:19" x14ac:dyDescent="0.25">
      <c r="E416" s="103"/>
      <c r="K416" s="12"/>
      <c r="L416" s="12"/>
      <c r="M416" s="12"/>
      <c r="N416" s="12"/>
      <c r="O416" s="12"/>
      <c r="P416" s="12"/>
      <c r="Q416" s="12"/>
      <c r="R416" s="12"/>
      <c r="S416" s="12"/>
    </row>
    <row r="417" spans="5:19" x14ac:dyDescent="0.25">
      <c r="E417" s="103"/>
      <c r="K417" s="12"/>
      <c r="L417" s="12"/>
      <c r="M417" s="12"/>
      <c r="N417" s="12"/>
      <c r="O417" s="12"/>
      <c r="P417" s="12"/>
      <c r="Q417" s="12"/>
      <c r="R417" s="12"/>
      <c r="S417" s="12"/>
    </row>
    <row r="418" spans="5:19" x14ac:dyDescent="0.25">
      <c r="E418" s="103"/>
      <c r="K418" s="12"/>
      <c r="L418" s="12"/>
      <c r="M418" s="12"/>
      <c r="N418" s="12"/>
      <c r="O418" s="12"/>
      <c r="P418" s="12"/>
      <c r="Q418" s="12"/>
      <c r="R418" s="12"/>
      <c r="S418" s="12"/>
    </row>
    <row r="419" spans="5:19" x14ac:dyDescent="0.25">
      <c r="E419" s="103"/>
      <c r="K419" s="12"/>
      <c r="L419" s="12"/>
      <c r="M419" s="12"/>
      <c r="N419" s="12"/>
      <c r="O419" s="12"/>
      <c r="P419" s="12"/>
      <c r="Q419" s="12"/>
      <c r="R419" s="12"/>
      <c r="S419" s="12"/>
    </row>
    <row r="420" spans="5:19" x14ac:dyDescent="0.25">
      <c r="E420" s="103"/>
      <c r="K420" s="12"/>
      <c r="L420" s="12"/>
      <c r="M420" s="12"/>
      <c r="N420" s="12"/>
      <c r="O420" s="12"/>
      <c r="P420" s="12"/>
      <c r="Q420" s="12"/>
      <c r="R420" s="12"/>
      <c r="S420" s="12"/>
    </row>
    <row r="421" spans="5:19" x14ac:dyDescent="0.25">
      <c r="E421" s="103"/>
      <c r="K421" s="12"/>
      <c r="L421" s="12"/>
      <c r="M421" s="12"/>
      <c r="N421" s="12"/>
      <c r="O421" s="12"/>
      <c r="P421" s="12"/>
      <c r="Q421" s="12"/>
      <c r="R421" s="12"/>
      <c r="S421" s="12"/>
    </row>
    <row r="422" spans="5:19" x14ac:dyDescent="0.25">
      <c r="E422" s="103"/>
      <c r="K422" s="12"/>
      <c r="L422" s="12"/>
      <c r="M422" s="12"/>
      <c r="N422" s="12"/>
      <c r="O422" s="12"/>
      <c r="P422" s="12"/>
      <c r="Q422" s="12"/>
      <c r="R422" s="12"/>
      <c r="S422" s="12"/>
    </row>
    <row r="423" spans="5:19" x14ac:dyDescent="0.25">
      <c r="E423" s="103"/>
      <c r="K423" s="12"/>
      <c r="L423" s="12"/>
      <c r="M423" s="12"/>
      <c r="N423" s="12"/>
      <c r="O423" s="12"/>
      <c r="P423" s="12"/>
      <c r="Q423" s="12"/>
      <c r="R423" s="12"/>
      <c r="S423" s="12"/>
    </row>
    <row r="424" spans="5:19" x14ac:dyDescent="0.25">
      <c r="E424" s="103"/>
      <c r="K424" s="12"/>
      <c r="L424" s="12"/>
      <c r="M424" s="12"/>
      <c r="N424" s="12"/>
      <c r="O424" s="12"/>
      <c r="P424" s="12"/>
      <c r="Q424" s="12"/>
      <c r="R424" s="12"/>
      <c r="S424" s="12"/>
    </row>
    <row r="425" spans="5:19" x14ac:dyDescent="0.25">
      <c r="E425" s="103"/>
      <c r="K425" s="12"/>
      <c r="L425" s="12"/>
      <c r="M425" s="12"/>
      <c r="N425" s="12"/>
      <c r="O425" s="12"/>
      <c r="P425" s="12"/>
      <c r="Q425" s="12"/>
      <c r="R425" s="12"/>
      <c r="S425" s="12"/>
    </row>
    <row r="426" spans="5:19" x14ac:dyDescent="0.25">
      <c r="E426" s="103"/>
      <c r="K426" s="12"/>
      <c r="L426" s="12"/>
      <c r="M426" s="12"/>
      <c r="N426" s="12"/>
      <c r="O426" s="12"/>
      <c r="P426" s="12"/>
      <c r="Q426" s="12"/>
      <c r="R426" s="12"/>
      <c r="S426" s="12"/>
    </row>
    <row r="427" spans="5:19" x14ac:dyDescent="0.25">
      <c r="E427" s="103"/>
      <c r="K427" s="12"/>
      <c r="L427" s="12"/>
      <c r="M427" s="12"/>
      <c r="N427" s="12"/>
      <c r="O427" s="12"/>
      <c r="P427" s="12"/>
      <c r="Q427" s="12"/>
      <c r="R427" s="12"/>
      <c r="S427" s="12"/>
    </row>
    <row r="428" spans="5:19" x14ac:dyDescent="0.25">
      <c r="E428" s="103"/>
      <c r="K428" s="12"/>
      <c r="L428" s="12"/>
      <c r="M428" s="12"/>
      <c r="N428" s="12"/>
      <c r="O428" s="12"/>
      <c r="P428" s="12"/>
      <c r="Q428" s="12"/>
      <c r="R428" s="12"/>
      <c r="S428" s="12"/>
    </row>
    <row r="429" spans="5:19" x14ac:dyDescent="0.25">
      <c r="E429" s="103"/>
      <c r="K429" s="12"/>
      <c r="L429" s="12"/>
      <c r="M429" s="12"/>
      <c r="N429" s="12"/>
      <c r="O429" s="12"/>
      <c r="P429" s="12"/>
      <c r="Q429" s="12"/>
      <c r="R429" s="12"/>
      <c r="S429" s="12"/>
    </row>
    <row r="430" spans="5:19" x14ac:dyDescent="0.25">
      <c r="E430" s="103"/>
      <c r="K430" s="12"/>
      <c r="L430" s="12"/>
      <c r="M430" s="12"/>
      <c r="N430" s="12"/>
      <c r="O430" s="12"/>
      <c r="P430" s="12"/>
      <c r="Q430" s="12"/>
      <c r="R430" s="12"/>
      <c r="S430" s="12"/>
    </row>
    <row r="431" spans="5:19" x14ac:dyDescent="0.25">
      <c r="E431" s="103"/>
      <c r="K431" s="12"/>
      <c r="L431" s="12"/>
      <c r="M431" s="12"/>
      <c r="N431" s="12"/>
      <c r="O431" s="12"/>
      <c r="P431" s="12"/>
      <c r="Q431" s="12"/>
      <c r="R431" s="12"/>
      <c r="S431" s="12"/>
    </row>
    <row r="432" spans="5:19" x14ac:dyDescent="0.25">
      <c r="E432" s="103"/>
      <c r="K432" s="12"/>
      <c r="L432" s="12"/>
      <c r="M432" s="12"/>
      <c r="N432" s="12"/>
      <c r="O432" s="12"/>
      <c r="P432" s="12"/>
      <c r="Q432" s="12"/>
      <c r="R432" s="12"/>
      <c r="S432" s="12"/>
    </row>
    <row r="433" spans="5:19" x14ac:dyDescent="0.25">
      <c r="E433" s="103"/>
      <c r="K433" s="12"/>
      <c r="L433" s="12"/>
      <c r="M433" s="12"/>
      <c r="N433" s="12"/>
      <c r="O433" s="12"/>
      <c r="P433" s="12"/>
      <c r="Q433" s="12"/>
      <c r="R433" s="12"/>
      <c r="S433" s="12"/>
    </row>
    <row r="434" spans="5:19" x14ac:dyDescent="0.25">
      <c r="E434" s="103"/>
      <c r="K434" s="12"/>
      <c r="L434" s="12"/>
      <c r="M434" s="12"/>
      <c r="N434" s="12"/>
      <c r="O434" s="12"/>
      <c r="P434" s="12"/>
      <c r="Q434" s="12"/>
      <c r="R434" s="12"/>
      <c r="S434" s="12"/>
    </row>
    <row r="435" spans="5:19" x14ac:dyDescent="0.25">
      <c r="E435" s="103"/>
      <c r="K435" s="12"/>
      <c r="L435" s="12"/>
      <c r="M435" s="12"/>
      <c r="N435" s="12"/>
      <c r="O435" s="12"/>
      <c r="P435" s="12"/>
      <c r="Q435" s="12"/>
      <c r="R435" s="12"/>
      <c r="S435" s="12"/>
    </row>
    <row r="436" spans="5:19" x14ac:dyDescent="0.25">
      <c r="E436" s="103"/>
      <c r="K436" s="12"/>
      <c r="L436" s="12"/>
      <c r="M436" s="12"/>
      <c r="N436" s="12"/>
      <c r="O436" s="12"/>
      <c r="P436" s="12"/>
      <c r="Q436" s="12"/>
      <c r="R436" s="12"/>
      <c r="S436" s="12"/>
    </row>
    <row r="437" spans="5:19" x14ac:dyDescent="0.25">
      <c r="E437" s="103"/>
      <c r="K437" s="12"/>
      <c r="L437" s="12"/>
      <c r="M437" s="12"/>
      <c r="N437" s="12"/>
      <c r="O437" s="12"/>
      <c r="P437" s="12"/>
      <c r="Q437" s="12"/>
      <c r="R437" s="12"/>
      <c r="S437" s="12"/>
    </row>
    <row r="438" spans="5:19" x14ac:dyDescent="0.25">
      <c r="E438" s="103"/>
      <c r="K438" s="12"/>
      <c r="L438" s="12"/>
      <c r="M438" s="12"/>
      <c r="N438" s="12"/>
      <c r="O438" s="12"/>
      <c r="P438" s="12"/>
      <c r="Q438" s="12"/>
      <c r="R438" s="12"/>
      <c r="S438" s="12"/>
    </row>
    <row r="439" spans="5:19" x14ac:dyDescent="0.25">
      <c r="E439" s="103"/>
      <c r="K439" s="12"/>
      <c r="L439" s="12"/>
      <c r="M439" s="12"/>
      <c r="N439" s="12"/>
      <c r="O439" s="12"/>
      <c r="P439" s="12"/>
      <c r="Q439" s="12"/>
      <c r="R439" s="12"/>
      <c r="S439" s="12"/>
    </row>
    <row r="440" spans="5:19" x14ac:dyDescent="0.25">
      <c r="E440" s="103"/>
      <c r="K440" s="12"/>
      <c r="L440" s="12"/>
      <c r="M440" s="12"/>
      <c r="N440" s="12"/>
      <c r="O440" s="12"/>
      <c r="P440" s="12"/>
      <c r="Q440" s="12"/>
      <c r="R440" s="12"/>
      <c r="S440" s="12"/>
    </row>
    <row r="441" spans="5:19" x14ac:dyDescent="0.25">
      <c r="E441" s="103"/>
      <c r="K441" s="12"/>
      <c r="L441" s="12"/>
      <c r="M441" s="12"/>
      <c r="N441" s="12"/>
      <c r="O441" s="12"/>
      <c r="P441" s="12"/>
      <c r="Q441" s="12"/>
      <c r="R441" s="12"/>
      <c r="S441" s="12"/>
    </row>
    <row r="442" spans="5:19" x14ac:dyDescent="0.25">
      <c r="E442" s="103"/>
      <c r="K442" s="12"/>
      <c r="L442" s="12"/>
      <c r="M442" s="12"/>
      <c r="N442" s="12"/>
      <c r="O442" s="12"/>
      <c r="P442" s="12"/>
      <c r="Q442" s="12"/>
      <c r="R442" s="12"/>
      <c r="S442" s="12"/>
    </row>
    <row r="443" spans="5:19" x14ac:dyDescent="0.25">
      <c r="E443" s="103"/>
      <c r="K443" s="12"/>
      <c r="L443" s="12"/>
      <c r="M443" s="12"/>
      <c r="N443" s="12"/>
      <c r="O443" s="12"/>
      <c r="P443" s="12"/>
      <c r="Q443" s="12"/>
      <c r="R443" s="12"/>
      <c r="S443" s="12"/>
    </row>
    <row r="444" spans="5:19" x14ac:dyDescent="0.25">
      <c r="E444" s="103"/>
      <c r="K444" s="12"/>
      <c r="L444" s="12"/>
      <c r="M444" s="12"/>
      <c r="N444" s="12"/>
      <c r="O444" s="12"/>
      <c r="P444" s="12"/>
      <c r="Q444" s="12"/>
      <c r="R444" s="12"/>
      <c r="S444" s="12"/>
    </row>
    <row r="445" spans="5:19" x14ac:dyDescent="0.25">
      <c r="E445" s="103"/>
      <c r="K445" s="12"/>
      <c r="L445" s="12"/>
      <c r="M445" s="12"/>
      <c r="N445" s="12"/>
      <c r="O445" s="12"/>
      <c r="P445" s="12"/>
      <c r="Q445" s="12"/>
      <c r="R445" s="12"/>
      <c r="S445" s="12"/>
    </row>
    <row r="446" spans="5:19" x14ac:dyDescent="0.25">
      <c r="E446" s="103"/>
      <c r="K446" s="12"/>
      <c r="L446" s="12"/>
      <c r="M446" s="12"/>
      <c r="N446" s="12"/>
      <c r="O446" s="12"/>
      <c r="P446" s="12"/>
      <c r="Q446" s="12"/>
      <c r="R446" s="12"/>
      <c r="S446" s="12"/>
    </row>
    <row r="447" spans="5:19" x14ac:dyDescent="0.25">
      <c r="E447" s="103"/>
      <c r="K447" s="12"/>
      <c r="L447" s="12"/>
      <c r="M447" s="12"/>
      <c r="N447" s="12"/>
      <c r="O447" s="12"/>
      <c r="P447" s="12"/>
      <c r="Q447" s="12"/>
      <c r="R447" s="12"/>
      <c r="S447" s="12"/>
    </row>
    <row r="448" spans="5:19" x14ac:dyDescent="0.25">
      <c r="E448" s="103"/>
      <c r="K448" s="12"/>
      <c r="L448" s="12"/>
      <c r="M448" s="12"/>
      <c r="N448" s="12"/>
      <c r="O448" s="12"/>
      <c r="P448" s="12"/>
      <c r="Q448" s="12"/>
      <c r="R448" s="12"/>
      <c r="S448" s="12"/>
    </row>
    <row r="449" spans="5:19" x14ac:dyDescent="0.25">
      <c r="E449" s="103"/>
      <c r="K449" s="12"/>
      <c r="L449" s="12"/>
      <c r="M449" s="12"/>
      <c r="N449" s="12"/>
      <c r="O449" s="12"/>
      <c r="P449" s="12"/>
      <c r="Q449" s="12"/>
      <c r="R449" s="12"/>
      <c r="S449" s="12"/>
    </row>
    <row r="450" spans="5:19" x14ac:dyDescent="0.25">
      <c r="E450" s="103"/>
      <c r="K450" s="12"/>
      <c r="L450" s="12"/>
      <c r="M450" s="12"/>
      <c r="N450" s="12"/>
      <c r="O450" s="12"/>
      <c r="P450" s="12"/>
      <c r="Q450" s="12"/>
      <c r="R450" s="12"/>
      <c r="S450" s="12"/>
    </row>
    <row r="451" spans="5:19" x14ac:dyDescent="0.25">
      <c r="E451" s="103"/>
      <c r="K451" s="12"/>
      <c r="L451" s="12"/>
      <c r="M451" s="12"/>
      <c r="N451" s="12"/>
      <c r="O451" s="12"/>
      <c r="P451" s="12"/>
      <c r="Q451" s="12"/>
      <c r="R451" s="12"/>
      <c r="S451" s="12"/>
    </row>
    <row r="452" spans="5:19" x14ac:dyDescent="0.25">
      <c r="E452" s="103"/>
      <c r="K452" s="12"/>
      <c r="L452" s="12"/>
      <c r="M452" s="12"/>
      <c r="N452" s="12"/>
      <c r="O452" s="12"/>
      <c r="P452" s="12"/>
      <c r="Q452" s="12"/>
      <c r="R452" s="12"/>
      <c r="S452" s="12"/>
    </row>
    <row r="453" spans="5:19" x14ac:dyDescent="0.25">
      <c r="E453" s="103"/>
      <c r="K453" s="12"/>
      <c r="L453" s="12"/>
      <c r="M453" s="12"/>
      <c r="N453" s="12"/>
      <c r="O453" s="12"/>
      <c r="P453" s="12"/>
      <c r="Q453" s="12"/>
      <c r="R453" s="12"/>
      <c r="S453" s="12"/>
    </row>
    <row r="454" spans="5:19" x14ac:dyDescent="0.25">
      <c r="E454" s="103"/>
      <c r="K454" s="12"/>
      <c r="L454" s="12"/>
      <c r="M454" s="12"/>
      <c r="N454" s="12"/>
      <c r="O454" s="12"/>
      <c r="P454" s="12"/>
      <c r="Q454" s="12"/>
      <c r="R454" s="12"/>
      <c r="S454" s="12"/>
    </row>
    <row r="455" spans="5:19" x14ac:dyDescent="0.25">
      <c r="E455" s="103"/>
      <c r="K455" s="12"/>
      <c r="L455" s="12"/>
      <c r="M455" s="12"/>
      <c r="N455" s="12"/>
      <c r="O455" s="12"/>
      <c r="P455" s="12"/>
      <c r="Q455" s="12"/>
      <c r="R455" s="12"/>
      <c r="S455" s="12"/>
    </row>
    <row r="456" spans="5:19" x14ac:dyDescent="0.25">
      <c r="E456" s="103"/>
      <c r="K456" s="12"/>
      <c r="L456" s="12"/>
      <c r="M456" s="12"/>
      <c r="N456" s="12"/>
      <c r="O456" s="12"/>
      <c r="P456" s="12"/>
      <c r="Q456" s="12"/>
      <c r="R456" s="12"/>
      <c r="S456" s="12"/>
    </row>
    <row r="457" spans="5:19" x14ac:dyDescent="0.25">
      <c r="E457" s="103"/>
      <c r="K457" s="12"/>
      <c r="L457" s="12"/>
      <c r="M457" s="12"/>
      <c r="N457" s="12"/>
      <c r="O457" s="12"/>
      <c r="P457" s="12"/>
      <c r="Q457" s="12"/>
      <c r="R457" s="12"/>
      <c r="S457" s="12"/>
    </row>
    <row r="458" spans="5:19" x14ac:dyDescent="0.25">
      <c r="E458" s="103"/>
      <c r="K458" s="12"/>
      <c r="L458" s="12"/>
      <c r="M458" s="12"/>
      <c r="N458" s="12"/>
      <c r="O458" s="12"/>
      <c r="P458" s="12"/>
      <c r="Q458" s="12"/>
      <c r="R458" s="12"/>
      <c r="S458" s="12"/>
    </row>
    <row r="459" spans="5:19" x14ac:dyDescent="0.25">
      <c r="E459" s="103"/>
      <c r="K459" s="12"/>
      <c r="L459" s="12"/>
      <c r="M459" s="12"/>
      <c r="N459" s="12"/>
      <c r="O459" s="12"/>
      <c r="P459" s="12"/>
      <c r="Q459" s="12"/>
      <c r="R459" s="12"/>
      <c r="S459" s="12"/>
    </row>
    <row r="460" spans="5:19" x14ac:dyDescent="0.25">
      <c r="E460" s="103"/>
      <c r="K460" s="12"/>
      <c r="L460" s="12"/>
      <c r="M460" s="12"/>
      <c r="N460" s="12"/>
      <c r="O460" s="12"/>
      <c r="P460" s="12"/>
      <c r="Q460" s="12"/>
      <c r="R460" s="12"/>
      <c r="S460" s="12"/>
    </row>
    <row r="461" spans="5:19" x14ac:dyDescent="0.25">
      <c r="E461" s="103"/>
      <c r="K461" s="12"/>
      <c r="L461" s="12"/>
      <c r="M461" s="12"/>
      <c r="N461" s="12"/>
      <c r="O461" s="12"/>
      <c r="P461" s="12"/>
      <c r="Q461" s="12"/>
      <c r="R461" s="12"/>
      <c r="S461" s="12"/>
    </row>
    <row r="462" spans="5:19" x14ac:dyDescent="0.25">
      <c r="E462" s="103"/>
      <c r="K462" s="12"/>
      <c r="L462" s="12"/>
      <c r="M462" s="12"/>
      <c r="N462" s="12"/>
      <c r="O462" s="12"/>
      <c r="P462" s="12"/>
      <c r="Q462" s="12"/>
      <c r="R462" s="12"/>
      <c r="S462" s="12"/>
    </row>
    <row r="463" spans="5:19" x14ac:dyDescent="0.25">
      <c r="E463" s="103"/>
      <c r="K463" s="12"/>
      <c r="L463" s="12"/>
      <c r="M463" s="12"/>
      <c r="N463" s="12"/>
      <c r="O463" s="12"/>
      <c r="P463" s="12"/>
      <c r="Q463" s="12"/>
      <c r="R463" s="12"/>
      <c r="S463" s="12"/>
    </row>
    <row r="464" spans="5:19" x14ac:dyDescent="0.25">
      <c r="E464" s="103"/>
      <c r="K464" s="12"/>
      <c r="L464" s="12"/>
      <c r="M464" s="12"/>
      <c r="N464" s="12"/>
      <c r="O464" s="12"/>
      <c r="P464" s="12"/>
      <c r="Q464" s="12"/>
      <c r="R464" s="12"/>
      <c r="S464" s="12"/>
    </row>
    <row r="465" spans="5:19" x14ac:dyDescent="0.25">
      <c r="E465" s="103"/>
      <c r="K465" s="12"/>
      <c r="L465" s="12"/>
      <c r="M465" s="12"/>
      <c r="N465" s="12"/>
      <c r="O465" s="12"/>
      <c r="P465" s="12"/>
      <c r="Q465" s="12"/>
      <c r="R465" s="12"/>
      <c r="S465" s="12"/>
    </row>
    <row r="466" spans="5:19" x14ac:dyDescent="0.25">
      <c r="E466" s="103"/>
      <c r="K466" s="12"/>
      <c r="L466" s="12"/>
      <c r="M466" s="12"/>
      <c r="N466" s="12"/>
      <c r="O466" s="12"/>
      <c r="P466" s="12"/>
      <c r="Q466" s="12"/>
      <c r="R466" s="12"/>
      <c r="S466" s="12"/>
    </row>
    <row r="467" spans="5:19" x14ac:dyDescent="0.25">
      <c r="E467" s="103"/>
      <c r="K467" s="12"/>
      <c r="L467" s="12"/>
      <c r="M467" s="12"/>
      <c r="N467" s="12"/>
      <c r="O467" s="12"/>
      <c r="P467" s="12"/>
      <c r="Q467" s="12"/>
      <c r="R467" s="12"/>
      <c r="S467" s="12"/>
    </row>
    <row r="468" spans="5:19" x14ac:dyDescent="0.25">
      <c r="E468" s="103"/>
      <c r="K468" s="12"/>
      <c r="L468" s="12"/>
      <c r="M468" s="12"/>
      <c r="N468" s="12"/>
      <c r="O468" s="12"/>
      <c r="P468" s="12"/>
      <c r="Q468" s="12"/>
      <c r="R468" s="12"/>
      <c r="S468" s="12"/>
    </row>
    <row r="469" spans="5:19" x14ac:dyDescent="0.25">
      <c r="E469" s="103"/>
      <c r="K469" s="12"/>
      <c r="L469" s="12"/>
      <c r="M469" s="12"/>
      <c r="N469" s="12"/>
      <c r="O469" s="12"/>
      <c r="P469" s="12"/>
      <c r="Q469" s="12"/>
      <c r="R469" s="12"/>
      <c r="S469" s="12"/>
    </row>
    <row r="470" spans="5:19" x14ac:dyDescent="0.25">
      <c r="E470" s="103"/>
      <c r="K470" s="12"/>
      <c r="L470" s="12"/>
      <c r="M470" s="12"/>
      <c r="N470" s="12"/>
      <c r="O470" s="12"/>
      <c r="P470" s="12"/>
      <c r="Q470" s="12"/>
      <c r="R470" s="12"/>
      <c r="S470" s="12"/>
    </row>
    <row r="471" spans="5:19" x14ac:dyDescent="0.25">
      <c r="E471" s="103"/>
      <c r="K471" s="12"/>
      <c r="L471" s="12"/>
      <c r="M471" s="12"/>
      <c r="N471" s="12"/>
      <c r="O471" s="12"/>
      <c r="P471" s="12"/>
      <c r="Q471" s="12"/>
      <c r="R471" s="12"/>
      <c r="S471" s="12"/>
    </row>
    <row r="472" spans="5:19" x14ac:dyDescent="0.25">
      <c r="E472" s="103"/>
      <c r="K472" s="12"/>
      <c r="L472" s="12"/>
      <c r="M472" s="12"/>
      <c r="N472" s="12"/>
      <c r="O472" s="12"/>
      <c r="P472" s="12"/>
      <c r="Q472" s="12"/>
      <c r="R472" s="12"/>
      <c r="S472" s="12"/>
    </row>
    <row r="473" spans="5:19" x14ac:dyDescent="0.25">
      <c r="E473" s="103"/>
      <c r="K473" s="12"/>
      <c r="L473" s="12"/>
      <c r="M473" s="12"/>
      <c r="N473" s="12"/>
      <c r="O473" s="12"/>
      <c r="P473" s="12"/>
      <c r="Q473" s="12"/>
      <c r="R473" s="12"/>
      <c r="S473" s="12"/>
    </row>
    <row r="474" spans="5:19" x14ac:dyDescent="0.25">
      <c r="E474" s="103"/>
      <c r="K474" s="12"/>
      <c r="L474" s="12"/>
      <c r="M474" s="12"/>
      <c r="N474" s="12"/>
      <c r="O474" s="12"/>
      <c r="P474" s="12"/>
      <c r="Q474" s="12"/>
      <c r="R474" s="12"/>
      <c r="S474" s="12"/>
    </row>
    <row r="475" spans="5:19" x14ac:dyDescent="0.25">
      <c r="E475" s="103"/>
      <c r="K475" s="12"/>
      <c r="L475" s="12"/>
      <c r="M475" s="12"/>
      <c r="N475" s="12"/>
      <c r="O475" s="12"/>
      <c r="P475" s="12"/>
      <c r="Q475" s="12"/>
      <c r="R475" s="12"/>
      <c r="S475" s="12"/>
    </row>
    <row r="476" spans="5:19" x14ac:dyDescent="0.25">
      <c r="E476" s="103"/>
      <c r="K476" s="12"/>
      <c r="L476" s="12"/>
      <c r="M476" s="12"/>
      <c r="N476" s="12"/>
      <c r="O476" s="12"/>
      <c r="P476" s="12"/>
      <c r="Q476" s="12"/>
      <c r="R476" s="12"/>
      <c r="S476" s="12"/>
    </row>
    <row r="477" spans="5:19" x14ac:dyDescent="0.25">
      <c r="E477" s="103"/>
      <c r="K477" s="12"/>
      <c r="L477" s="12"/>
      <c r="M477" s="12"/>
      <c r="N477" s="12"/>
      <c r="O477" s="12"/>
      <c r="P477" s="12"/>
      <c r="Q477" s="12"/>
      <c r="R477" s="12"/>
      <c r="S477" s="12"/>
    </row>
    <row r="478" spans="5:19" x14ac:dyDescent="0.25">
      <c r="E478" s="103"/>
      <c r="K478" s="12"/>
      <c r="L478" s="12"/>
      <c r="M478" s="12"/>
      <c r="N478" s="12"/>
      <c r="O478" s="12"/>
      <c r="P478" s="12"/>
      <c r="Q478" s="12"/>
      <c r="R478" s="12"/>
      <c r="S478" s="12"/>
    </row>
    <row r="479" spans="5:19" x14ac:dyDescent="0.25">
      <c r="E479" s="103"/>
      <c r="K479" s="12"/>
      <c r="L479" s="12"/>
      <c r="M479" s="12"/>
      <c r="N479" s="12"/>
      <c r="O479" s="12"/>
      <c r="P479" s="12"/>
      <c r="Q479" s="12"/>
      <c r="R479" s="12"/>
      <c r="S479" s="12"/>
    </row>
    <row r="480" spans="5:19" x14ac:dyDescent="0.25">
      <c r="E480" s="103"/>
      <c r="K480" s="12"/>
      <c r="L480" s="12"/>
      <c r="M480" s="12"/>
      <c r="N480" s="12"/>
      <c r="O480" s="12"/>
      <c r="P480" s="12"/>
      <c r="Q480" s="12"/>
      <c r="R480" s="12"/>
      <c r="S480" s="12"/>
    </row>
    <row r="481" spans="5:19" x14ac:dyDescent="0.25">
      <c r="E481" s="103"/>
      <c r="K481" s="12"/>
      <c r="L481" s="12"/>
      <c r="M481" s="12"/>
      <c r="N481" s="12"/>
      <c r="O481" s="12"/>
      <c r="P481" s="12"/>
      <c r="Q481" s="12"/>
      <c r="R481" s="12"/>
      <c r="S481" s="12"/>
    </row>
    <row r="482" spans="5:19" x14ac:dyDescent="0.25">
      <c r="E482" s="103"/>
      <c r="K482" s="12"/>
      <c r="L482" s="12"/>
      <c r="M482" s="12"/>
      <c r="N482" s="12"/>
      <c r="O482" s="12"/>
      <c r="P482" s="12"/>
      <c r="Q482" s="12"/>
      <c r="R482" s="12"/>
      <c r="S482" s="12"/>
    </row>
    <row r="483" spans="5:19" x14ac:dyDescent="0.25">
      <c r="E483" s="103"/>
      <c r="K483" s="12"/>
      <c r="L483" s="12"/>
      <c r="M483" s="12"/>
      <c r="N483" s="12"/>
      <c r="O483" s="12"/>
      <c r="P483" s="12"/>
      <c r="Q483" s="12"/>
      <c r="R483" s="12"/>
      <c r="S483" s="12"/>
    </row>
    <row r="484" spans="5:19" x14ac:dyDescent="0.25">
      <c r="E484" s="103"/>
      <c r="K484" s="12"/>
      <c r="L484" s="12"/>
      <c r="M484" s="12"/>
      <c r="N484" s="12"/>
      <c r="O484" s="12"/>
      <c r="P484" s="12"/>
      <c r="Q484" s="12"/>
      <c r="R484" s="12"/>
      <c r="S484" s="12"/>
    </row>
    <row r="485" spans="5:19" x14ac:dyDescent="0.25">
      <c r="E485" s="103"/>
      <c r="K485" s="12"/>
      <c r="L485" s="12"/>
      <c r="M485" s="12"/>
      <c r="N485" s="12"/>
      <c r="O485" s="12"/>
      <c r="P485" s="12"/>
      <c r="Q485" s="12"/>
      <c r="R485" s="12"/>
      <c r="S485" s="12"/>
    </row>
    <row r="486" spans="5:19" x14ac:dyDescent="0.25">
      <c r="E486" s="103"/>
      <c r="K486" s="12"/>
      <c r="L486" s="12"/>
      <c r="M486" s="12"/>
      <c r="N486" s="12"/>
      <c r="O486" s="12"/>
      <c r="P486" s="12"/>
      <c r="Q486" s="12"/>
      <c r="R486" s="12"/>
      <c r="S486" s="12"/>
    </row>
    <row r="487" spans="5:19" x14ac:dyDescent="0.25">
      <c r="E487" s="103"/>
      <c r="K487" s="12"/>
      <c r="L487" s="12"/>
      <c r="M487" s="12"/>
      <c r="N487" s="12"/>
      <c r="O487" s="12"/>
      <c r="P487" s="12"/>
      <c r="Q487" s="12"/>
      <c r="R487" s="12"/>
      <c r="S487" s="12"/>
    </row>
    <row r="488" spans="5:19" x14ac:dyDescent="0.25">
      <c r="E488" s="103"/>
      <c r="K488" s="12"/>
      <c r="L488" s="12"/>
      <c r="M488" s="12"/>
      <c r="N488" s="12"/>
      <c r="O488" s="12"/>
      <c r="P488" s="12"/>
      <c r="Q488" s="12"/>
      <c r="R488" s="12"/>
      <c r="S488" s="12"/>
    </row>
    <row r="489" spans="5:19" x14ac:dyDescent="0.25">
      <c r="E489" s="103"/>
      <c r="K489" s="12"/>
      <c r="L489" s="12"/>
      <c r="M489" s="12"/>
      <c r="N489" s="12"/>
      <c r="O489" s="12"/>
      <c r="P489" s="12"/>
      <c r="Q489" s="12"/>
      <c r="R489" s="12"/>
      <c r="S489" s="12"/>
    </row>
    <row r="490" spans="5:19" x14ac:dyDescent="0.25">
      <c r="E490" s="103"/>
      <c r="K490" s="12"/>
      <c r="L490" s="12"/>
      <c r="M490" s="12"/>
      <c r="N490" s="12"/>
      <c r="O490" s="12"/>
      <c r="P490" s="12"/>
      <c r="Q490" s="12"/>
      <c r="R490" s="12"/>
      <c r="S490" s="12"/>
    </row>
    <row r="491" spans="5:19" x14ac:dyDescent="0.25">
      <c r="E491" s="103"/>
      <c r="K491" s="12"/>
      <c r="L491" s="12"/>
      <c r="M491" s="12"/>
      <c r="N491" s="12"/>
      <c r="O491" s="12"/>
      <c r="P491" s="12"/>
      <c r="Q491" s="12"/>
      <c r="R491" s="12"/>
      <c r="S491" s="12"/>
    </row>
    <row r="492" spans="5:19" x14ac:dyDescent="0.25">
      <c r="E492" s="103"/>
      <c r="K492" s="12"/>
      <c r="L492" s="12"/>
      <c r="M492" s="12"/>
      <c r="N492" s="12"/>
      <c r="O492" s="12"/>
      <c r="P492" s="12"/>
      <c r="Q492" s="12"/>
      <c r="R492" s="12"/>
      <c r="S492" s="12"/>
    </row>
    <row r="493" spans="5:19" x14ac:dyDescent="0.25">
      <c r="E493" s="103"/>
      <c r="K493" s="12"/>
      <c r="L493" s="12"/>
      <c r="M493" s="12"/>
      <c r="N493" s="12"/>
      <c r="O493" s="12"/>
      <c r="P493" s="12"/>
      <c r="Q493" s="12"/>
      <c r="R493" s="12"/>
      <c r="S493" s="12"/>
    </row>
    <row r="494" spans="5:19" x14ac:dyDescent="0.25">
      <c r="E494" s="103"/>
      <c r="K494" s="12"/>
      <c r="L494" s="12"/>
      <c r="M494" s="12"/>
      <c r="N494" s="12"/>
      <c r="O494" s="12"/>
      <c r="P494" s="12"/>
      <c r="Q494" s="12"/>
      <c r="R494" s="12"/>
      <c r="S494" s="12"/>
    </row>
    <row r="495" spans="5:19" x14ac:dyDescent="0.25">
      <c r="E495" s="103"/>
      <c r="K495" s="12"/>
      <c r="L495" s="12"/>
      <c r="M495" s="12"/>
      <c r="N495" s="12"/>
      <c r="O495" s="12"/>
      <c r="P495" s="12"/>
      <c r="Q495" s="12"/>
      <c r="R495" s="12"/>
      <c r="S495" s="12"/>
    </row>
    <row r="496" spans="5:19" x14ac:dyDescent="0.25">
      <c r="E496" s="103"/>
      <c r="K496" s="12"/>
      <c r="L496" s="12"/>
      <c r="M496" s="12"/>
      <c r="N496" s="12"/>
      <c r="O496" s="12"/>
      <c r="P496" s="12"/>
      <c r="Q496" s="12"/>
      <c r="R496" s="12"/>
      <c r="S496" s="12"/>
    </row>
    <row r="497" spans="5:19" x14ac:dyDescent="0.25">
      <c r="E497" s="103"/>
      <c r="K497" s="12"/>
      <c r="L497" s="12"/>
      <c r="M497" s="12"/>
      <c r="N497" s="12"/>
      <c r="O497" s="12"/>
      <c r="P497" s="12"/>
      <c r="Q497" s="12"/>
      <c r="R497" s="12"/>
      <c r="S497" s="12"/>
    </row>
    <row r="498" spans="5:19" x14ac:dyDescent="0.25">
      <c r="E498" s="103"/>
      <c r="K498" s="12"/>
      <c r="L498" s="12"/>
      <c r="M498" s="12"/>
      <c r="N498" s="12"/>
      <c r="O498" s="12"/>
      <c r="P498" s="12"/>
      <c r="Q498" s="12"/>
      <c r="R498" s="12"/>
      <c r="S498" s="12"/>
    </row>
    <row r="499" spans="5:19" x14ac:dyDescent="0.25">
      <c r="E499" s="103"/>
      <c r="K499" s="12"/>
      <c r="L499" s="12"/>
      <c r="M499" s="12"/>
      <c r="N499" s="12"/>
      <c r="O499" s="12"/>
      <c r="P499" s="12"/>
      <c r="Q499" s="12"/>
      <c r="R499" s="12"/>
      <c r="S499" s="12"/>
    </row>
    <row r="500" spans="5:19" x14ac:dyDescent="0.25">
      <c r="E500" s="103"/>
      <c r="K500" s="12"/>
      <c r="L500" s="12"/>
      <c r="M500" s="12"/>
      <c r="N500" s="12"/>
      <c r="O500" s="12"/>
      <c r="P500" s="12"/>
      <c r="Q500" s="12"/>
      <c r="R500" s="12"/>
      <c r="S500" s="12"/>
    </row>
    <row r="501" spans="5:19" x14ac:dyDescent="0.25">
      <c r="E501" s="103"/>
      <c r="K501" s="12"/>
      <c r="L501" s="12"/>
      <c r="M501" s="12"/>
      <c r="N501" s="12"/>
      <c r="O501" s="12"/>
      <c r="P501" s="12"/>
      <c r="Q501" s="12"/>
      <c r="R501" s="12"/>
      <c r="S501" s="12"/>
    </row>
    <row r="502" spans="5:19" x14ac:dyDescent="0.25">
      <c r="E502" s="103"/>
      <c r="K502" s="12"/>
      <c r="L502" s="12"/>
      <c r="M502" s="12"/>
      <c r="N502" s="12"/>
      <c r="O502" s="12"/>
      <c r="P502" s="12"/>
      <c r="Q502" s="12"/>
      <c r="R502" s="12"/>
      <c r="S502" s="12"/>
    </row>
    <row r="503" spans="5:19" x14ac:dyDescent="0.25">
      <c r="E503" s="103"/>
      <c r="K503" s="12"/>
      <c r="L503" s="12"/>
      <c r="M503" s="12"/>
      <c r="N503" s="12"/>
      <c r="O503" s="12"/>
      <c r="P503" s="12"/>
      <c r="Q503" s="12"/>
      <c r="R503" s="12"/>
      <c r="S503" s="12"/>
    </row>
    <row r="504" spans="5:19" x14ac:dyDescent="0.25">
      <c r="E504" s="103"/>
      <c r="K504" s="12"/>
      <c r="L504" s="12"/>
      <c r="M504" s="12"/>
      <c r="N504" s="12"/>
      <c r="O504" s="12"/>
      <c r="P504" s="12"/>
      <c r="Q504" s="12"/>
      <c r="R504" s="12"/>
      <c r="S504" s="12"/>
    </row>
    <row r="505" spans="5:19" x14ac:dyDescent="0.25">
      <c r="E505" s="103"/>
      <c r="K505" s="12"/>
      <c r="L505" s="12"/>
      <c r="M505" s="12"/>
      <c r="N505" s="12"/>
      <c r="O505" s="12"/>
      <c r="P505" s="12"/>
      <c r="Q505" s="12"/>
      <c r="R505" s="12"/>
      <c r="S505" s="12"/>
    </row>
    <row r="506" spans="5:19" x14ac:dyDescent="0.25">
      <c r="E506" s="103"/>
      <c r="K506" s="12"/>
      <c r="L506" s="12"/>
      <c r="M506" s="12"/>
      <c r="N506" s="12"/>
      <c r="O506" s="12"/>
      <c r="P506" s="12"/>
      <c r="Q506" s="12"/>
      <c r="R506" s="12"/>
      <c r="S506" s="12"/>
    </row>
    <row r="507" spans="5:19" x14ac:dyDescent="0.25">
      <c r="E507" s="103"/>
      <c r="K507" s="12"/>
      <c r="L507" s="12"/>
      <c r="M507" s="12"/>
      <c r="N507" s="12"/>
      <c r="O507" s="12"/>
      <c r="P507" s="12"/>
      <c r="Q507" s="12"/>
      <c r="R507" s="12"/>
      <c r="S507" s="12"/>
    </row>
    <row r="508" spans="5:19" x14ac:dyDescent="0.25">
      <c r="E508" s="103"/>
      <c r="K508" s="12"/>
      <c r="L508" s="12"/>
      <c r="M508" s="12"/>
      <c r="N508" s="12"/>
      <c r="O508" s="12"/>
      <c r="P508" s="12"/>
      <c r="Q508" s="12"/>
      <c r="R508" s="12"/>
      <c r="S508" s="12"/>
    </row>
    <row r="509" spans="5:19" x14ac:dyDescent="0.25">
      <c r="E509" s="103"/>
      <c r="K509" s="12"/>
      <c r="L509" s="12"/>
      <c r="M509" s="12"/>
      <c r="N509" s="12"/>
      <c r="O509" s="12"/>
      <c r="P509" s="12"/>
      <c r="Q509" s="12"/>
      <c r="R509" s="12"/>
      <c r="S509" s="12"/>
    </row>
    <row r="510" spans="5:19" x14ac:dyDescent="0.25">
      <c r="E510" s="103"/>
      <c r="K510" s="12"/>
      <c r="L510" s="12"/>
      <c r="M510" s="12"/>
      <c r="N510" s="12"/>
      <c r="O510" s="12"/>
      <c r="P510" s="12"/>
      <c r="Q510" s="12"/>
      <c r="R510" s="12"/>
      <c r="S510" s="12"/>
    </row>
    <row r="511" spans="5:19" x14ac:dyDescent="0.25">
      <c r="E511" s="103"/>
      <c r="K511" s="12"/>
      <c r="L511" s="12"/>
      <c r="M511" s="12"/>
      <c r="N511" s="12"/>
      <c r="O511" s="12"/>
      <c r="P511" s="12"/>
      <c r="Q511" s="12"/>
      <c r="R511" s="12"/>
      <c r="S511" s="12"/>
    </row>
    <row r="512" spans="5:19" x14ac:dyDescent="0.25">
      <c r="E512" s="103"/>
      <c r="K512" s="12"/>
      <c r="L512" s="12"/>
      <c r="M512" s="12"/>
      <c r="N512" s="12"/>
      <c r="O512" s="12"/>
      <c r="P512" s="12"/>
      <c r="Q512" s="12"/>
      <c r="R512" s="12"/>
      <c r="S512" s="12"/>
    </row>
    <row r="513" spans="5:19" x14ac:dyDescent="0.25">
      <c r="E513" s="103"/>
      <c r="K513" s="12"/>
      <c r="L513" s="12"/>
      <c r="M513" s="12"/>
      <c r="N513" s="12"/>
      <c r="O513" s="12"/>
      <c r="P513" s="12"/>
      <c r="Q513" s="12"/>
      <c r="R513" s="12"/>
      <c r="S513" s="12"/>
    </row>
    <row r="514" spans="5:19" x14ac:dyDescent="0.25">
      <c r="E514" s="103"/>
      <c r="K514" s="12"/>
      <c r="L514" s="12"/>
      <c r="M514" s="12"/>
      <c r="N514" s="12"/>
      <c r="O514" s="12"/>
      <c r="P514" s="12"/>
      <c r="Q514" s="12"/>
      <c r="R514" s="12"/>
      <c r="S514" s="12"/>
    </row>
    <row r="515" spans="5:19" x14ac:dyDescent="0.25">
      <c r="E515" s="103"/>
      <c r="K515" s="12"/>
      <c r="L515" s="12"/>
      <c r="M515" s="12"/>
      <c r="N515" s="12"/>
      <c r="O515" s="12"/>
      <c r="P515" s="12"/>
      <c r="Q515" s="12"/>
      <c r="R515" s="12"/>
      <c r="S515" s="12"/>
    </row>
    <row r="516" spans="5:19" x14ac:dyDescent="0.25">
      <c r="E516" s="103"/>
      <c r="K516" s="12"/>
      <c r="L516" s="12"/>
      <c r="M516" s="12"/>
      <c r="N516" s="12"/>
      <c r="O516" s="12"/>
      <c r="P516" s="12"/>
      <c r="Q516" s="12"/>
      <c r="R516" s="12"/>
      <c r="S516" s="12"/>
    </row>
    <row r="517" spans="5:19" x14ac:dyDescent="0.25">
      <c r="E517" s="103"/>
      <c r="K517" s="12"/>
      <c r="L517" s="12"/>
      <c r="M517" s="12"/>
      <c r="N517" s="12"/>
      <c r="O517" s="12"/>
      <c r="P517" s="12"/>
      <c r="Q517" s="12"/>
      <c r="R517" s="12"/>
      <c r="S517" s="12"/>
    </row>
    <row r="518" spans="5:19" x14ac:dyDescent="0.25">
      <c r="E518" s="103"/>
      <c r="K518" s="12"/>
      <c r="L518" s="12"/>
      <c r="M518" s="12"/>
      <c r="N518" s="12"/>
      <c r="O518" s="12"/>
      <c r="P518" s="12"/>
      <c r="Q518" s="12"/>
      <c r="R518" s="12"/>
      <c r="S518" s="12"/>
    </row>
    <row r="519" spans="5:19" x14ac:dyDescent="0.25">
      <c r="E519" s="103"/>
      <c r="K519" s="12"/>
      <c r="L519" s="12"/>
      <c r="M519" s="12"/>
      <c r="N519" s="12"/>
      <c r="O519" s="12"/>
      <c r="P519" s="12"/>
      <c r="Q519" s="12"/>
      <c r="R519" s="12"/>
      <c r="S519" s="12"/>
    </row>
    <row r="520" spans="5:19" x14ac:dyDescent="0.25">
      <c r="E520" s="103"/>
      <c r="K520" s="12"/>
      <c r="L520" s="12"/>
      <c r="M520" s="12"/>
      <c r="N520" s="12"/>
      <c r="O520" s="12"/>
      <c r="P520" s="12"/>
      <c r="Q520" s="12"/>
      <c r="R520" s="12"/>
      <c r="S520" s="12"/>
    </row>
    <row r="521" spans="5:19" x14ac:dyDescent="0.25">
      <c r="E521" s="103"/>
      <c r="K521" s="12"/>
      <c r="L521" s="12"/>
      <c r="M521" s="12"/>
      <c r="N521" s="12"/>
      <c r="O521" s="12"/>
      <c r="P521" s="12"/>
      <c r="Q521" s="12"/>
      <c r="R521" s="12"/>
      <c r="S521" s="12"/>
    </row>
    <row r="522" spans="5:19" x14ac:dyDescent="0.25">
      <c r="E522" s="103"/>
      <c r="K522" s="12"/>
      <c r="L522" s="12"/>
      <c r="M522" s="12"/>
      <c r="N522" s="12"/>
      <c r="O522" s="12"/>
      <c r="P522" s="12"/>
      <c r="Q522" s="12"/>
      <c r="R522" s="12"/>
      <c r="S522" s="12"/>
    </row>
    <row r="523" spans="5:19" x14ac:dyDescent="0.25">
      <c r="E523" s="103"/>
      <c r="K523" s="12"/>
      <c r="L523" s="12"/>
      <c r="M523" s="12"/>
      <c r="N523" s="12"/>
      <c r="O523" s="12"/>
      <c r="P523" s="12"/>
      <c r="Q523" s="12"/>
      <c r="R523" s="12"/>
      <c r="S523" s="12"/>
    </row>
    <row r="524" spans="5:19" x14ac:dyDescent="0.25">
      <c r="E524" s="103"/>
      <c r="K524" s="12"/>
      <c r="L524" s="12"/>
      <c r="M524" s="12"/>
      <c r="N524" s="12"/>
      <c r="O524" s="12"/>
      <c r="P524" s="12"/>
      <c r="Q524" s="12"/>
      <c r="R524" s="12"/>
      <c r="S524" s="12"/>
    </row>
    <row r="525" spans="5:19" x14ac:dyDescent="0.25">
      <c r="E525" s="103"/>
      <c r="K525" s="12"/>
      <c r="L525" s="12"/>
      <c r="M525" s="12"/>
      <c r="N525" s="12"/>
      <c r="O525" s="12"/>
      <c r="P525" s="12"/>
      <c r="Q525" s="12"/>
      <c r="R525" s="12"/>
      <c r="S525" s="12"/>
    </row>
    <row r="526" spans="5:19" x14ac:dyDescent="0.25">
      <c r="E526" s="103"/>
      <c r="K526" s="12"/>
      <c r="L526" s="12"/>
      <c r="M526" s="12"/>
      <c r="N526" s="12"/>
      <c r="O526" s="12"/>
      <c r="P526" s="12"/>
      <c r="Q526" s="12"/>
      <c r="R526" s="12"/>
      <c r="S526" s="12"/>
    </row>
    <row r="527" spans="5:19" x14ac:dyDescent="0.25">
      <c r="E527" s="103"/>
      <c r="K527" s="12"/>
      <c r="L527" s="12"/>
      <c r="M527" s="12"/>
      <c r="N527" s="12"/>
      <c r="O527" s="12"/>
      <c r="P527" s="12"/>
      <c r="Q527" s="12"/>
      <c r="R527" s="12"/>
      <c r="S527" s="12"/>
    </row>
    <row r="528" spans="5:19" x14ac:dyDescent="0.25">
      <c r="E528" s="103"/>
      <c r="K528" s="12"/>
      <c r="L528" s="12"/>
      <c r="M528" s="12"/>
      <c r="N528" s="12"/>
      <c r="O528" s="12"/>
      <c r="P528" s="12"/>
      <c r="Q528" s="12"/>
      <c r="R528" s="12"/>
      <c r="S528" s="12"/>
    </row>
    <row r="529" spans="5:19" x14ac:dyDescent="0.25">
      <c r="E529" s="103"/>
      <c r="K529" s="12"/>
      <c r="L529" s="12"/>
      <c r="M529" s="12"/>
      <c r="N529" s="12"/>
      <c r="O529" s="12"/>
      <c r="P529" s="12"/>
      <c r="Q529" s="12"/>
      <c r="R529" s="12"/>
      <c r="S529" s="12"/>
    </row>
    <row r="530" spans="5:19" x14ac:dyDescent="0.25">
      <c r="E530" s="103"/>
      <c r="K530" s="12"/>
      <c r="L530" s="12"/>
      <c r="M530" s="12"/>
      <c r="N530" s="12"/>
      <c r="O530" s="12"/>
      <c r="P530" s="12"/>
      <c r="Q530" s="12"/>
      <c r="R530" s="12"/>
      <c r="S530" s="12"/>
    </row>
    <row r="531" spans="5:19" x14ac:dyDescent="0.25">
      <c r="E531" s="103"/>
      <c r="K531" s="12"/>
      <c r="L531" s="12"/>
      <c r="M531" s="12"/>
      <c r="N531" s="12"/>
      <c r="O531" s="12"/>
      <c r="P531" s="12"/>
      <c r="Q531" s="12"/>
      <c r="R531" s="12"/>
      <c r="S531" s="12"/>
    </row>
    <row r="532" spans="5:19" x14ac:dyDescent="0.25">
      <c r="E532" s="103"/>
      <c r="K532" s="12"/>
      <c r="L532" s="12"/>
      <c r="M532" s="12"/>
      <c r="N532" s="12"/>
      <c r="O532" s="12"/>
      <c r="P532" s="12"/>
      <c r="Q532" s="12"/>
      <c r="R532" s="12"/>
      <c r="S532" s="12"/>
    </row>
    <row r="533" spans="5:19" x14ac:dyDescent="0.25">
      <c r="E533" s="103"/>
      <c r="K533" s="12"/>
      <c r="L533" s="12"/>
      <c r="M533" s="12"/>
      <c r="N533" s="12"/>
      <c r="O533" s="12"/>
      <c r="P533" s="12"/>
      <c r="Q533" s="12"/>
      <c r="R533" s="12"/>
      <c r="S533" s="12"/>
    </row>
    <row r="534" spans="5:19" x14ac:dyDescent="0.25">
      <c r="E534" s="103"/>
      <c r="K534" s="12"/>
      <c r="L534" s="12"/>
      <c r="M534" s="12"/>
      <c r="N534" s="12"/>
      <c r="O534" s="12"/>
      <c r="P534" s="12"/>
      <c r="Q534" s="12"/>
      <c r="R534" s="12"/>
      <c r="S534" s="12"/>
    </row>
    <row r="535" spans="5:19" x14ac:dyDescent="0.25">
      <c r="E535" s="103"/>
      <c r="K535" s="12"/>
      <c r="L535" s="12"/>
      <c r="M535" s="12"/>
      <c r="N535" s="12"/>
      <c r="O535" s="12"/>
      <c r="P535" s="12"/>
      <c r="Q535" s="12"/>
      <c r="R535" s="12"/>
      <c r="S535" s="12"/>
    </row>
    <row r="536" spans="5:19" x14ac:dyDescent="0.25">
      <c r="E536" s="103"/>
      <c r="K536" s="12"/>
      <c r="L536" s="12"/>
      <c r="M536" s="12"/>
      <c r="N536" s="12"/>
      <c r="O536" s="12"/>
      <c r="P536" s="12"/>
      <c r="Q536" s="12"/>
      <c r="R536" s="12"/>
      <c r="S536" s="12"/>
    </row>
    <row r="537" spans="5:19" x14ac:dyDescent="0.25">
      <c r="E537" s="103"/>
      <c r="K537" s="12"/>
      <c r="L537" s="12"/>
      <c r="M537" s="12"/>
      <c r="N537" s="12"/>
      <c r="O537" s="12"/>
      <c r="P537" s="12"/>
      <c r="Q537" s="12"/>
      <c r="R537" s="12"/>
      <c r="S537" s="12"/>
    </row>
    <row r="538" spans="5:19" x14ac:dyDescent="0.25">
      <c r="E538" s="103"/>
      <c r="K538" s="12"/>
      <c r="L538" s="12"/>
      <c r="M538" s="12"/>
      <c r="N538" s="12"/>
      <c r="O538" s="12"/>
      <c r="P538" s="12"/>
      <c r="Q538" s="12"/>
      <c r="R538" s="12"/>
      <c r="S538" s="12"/>
    </row>
    <row r="539" spans="5:19" x14ac:dyDescent="0.25">
      <c r="E539" s="103"/>
      <c r="K539" s="12"/>
      <c r="L539" s="12"/>
      <c r="M539" s="12"/>
      <c r="N539" s="12"/>
      <c r="O539" s="12"/>
      <c r="P539" s="12"/>
      <c r="Q539" s="12"/>
      <c r="R539" s="12"/>
      <c r="S539" s="12"/>
    </row>
    <row r="540" spans="5:19" x14ac:dyDescent="0.25">
      <c r="E540" s="103"/>
      <c r="K540" s="12"/>
      <c r="L540" s="12"/>
      <c r="M540" s="12"/>
      <c r="N540" s="12"/>
      <c r="O540" s="12"/>
      <c r="P540" s="12"/>
      <c r="Q540" s="12"/>
      <c r="R540" s="12"/>
      <c r="S540" s="12"/>
    </row>
    <row r="541" spans="5:19" x14ac:dyDescent="0.25">
      <c r="E541" s="103"/>
      <c r="K541" s="12"/>
      <c r="L541" s="12"/>
      <c r="M541" s="12"/>
      <c r="N541" s="12"/>
      <c r="O541" s="12"/>
      <c r="P541" s="12"/>
      <c r="Q541" s="12"/>
      <c r="R541" s="12"/>
      <c r="S541" s="12"/>
    </row>
    <row r="542" spans="5:19" x14ac:dyDescent="0.25">
      <c r="E542" s="103"/>
      <c r="K542" s="12"/>
      <c r="L542" s="12"/>
      <c r="M542" s="12"/>
      <c r="N542" s="12"/>
      <c r="O542" s="12"/>
      <c r="P542" s="12"/>
      <c r="Q542" s="12"/>
      <c r="R542" s="12"/>
      <c r="S542" s="12"/>
    </row>
    <row r="543" spans="5:19" x14ac:dyDescent="0.25">
      <c r="E543" s="103"/>
      <c r="K543" s="12"/>
      <c r="L543" s="12"/>
      <c r="M543" s="12"/>
      <c r="N543" s="12"/>
      <c r="O543" s="12"/>
      <c r="P543" s="12"/>
      <c r="Q543" s="12"/>
      <c r="R543" s="12"/>
      <c r="S543" s="12"/>
    </row>
    <row r="544" spans="5:19" x14ac:dyDescent="0.25">
      <c r="E544" s="103"/>
      <c r="K544" s="12"/>
      <c r="L544" s="12"/>
      <c r="M544" s="12"/>
      <c r="N544" s="12"/>
      <c r="O544" s="12"/>
      <c r="P544" s="12"/>
      <c r="Q544" s="12"/>
      <c r="R544" s="12"/>
      <c r="S544" s="12"/>
    </row>
    <row r="545" spans="5:19" x14ac:dyDescent="0.25">
      <c r="E545" s="103"/>
      <c r="K545" s="12"/>
      <c r="L545" s="12"/>
      <c r="M545" s="12"/>
      <c r="N545" s="12"/>
      <c r="O545" s="12"/>
      <c r="P545" s="12"/>
      <c r="Q545" s="12"/>
      <c r="R545" s="12"/>
      <c r="S545" s="12"/>
    </row>
    <row r="546" spans="5:19" x14ac:dyDescent="0.25">
      <c r="E546" s="103"/>
      <c r="K546" s="12"/>
      <c r="L546" s="12"/>
      <c r="M546" s="12"/>
      <c r="N546" s="12"/>
      <c r="O546" s="12"/>
      <c r="P546" s="12"/>
      <c r="Q546" s="12"/>
      <c r="R546" s="12"/>
      <c r="S546" s="12"/>
    </row>
    <row r="547" spans="5:19" x14ac:dyDescent="0.25">
      <c r="E547" s="103"/>
      <c r="K547" s="12"/>
      <c r="L547" s="12"/>
      <c r="M547" s="12"/>
      <c r="N547" s="12"/>
      <c r="O547" s="12"/>
      <c r="P547" s="12"/>
      <c r="Q547" s="12"/>
      <c r="R547" s="12"/>
      <c r="S547" s="12"/>
    </row>
    <row r="548" spans="5:19" x14ac:dyDescent="0.25">
      <c r="E548" s="103"/>
      <c r="K548" s="12"/>
      <c r="L548" s="12"/>
      <c r="M548" s="12"/>
      <c r="N548" s="12"/>
      <c r="O548" s="12"/>
      <c r="P548" s="12"/>
      <c r="Q548" s="12"/>
      <c r="R548" s="12"/>
      <c r="S548" s="12"/>
    </row>
    <row r="549" spans="5:19" x14ac:dyDescent="0.25">
      <c r="E549" s="103"/>
      <c r="K549" s="12"/>
      <c r="L549" s="12"/>
      <c r="M549" s="12"/>
      <c r="N549" s="12"/>
      <c r="O549" s="12"/>
      <c r="P549" s="12"/>
      <c r="Q549" s="12"/>
      <c r="R549" s="12"/>
      <c r="S549" s="12"/>
    </row>
    <row r="550" spans="5:19" x14ac:dyDescent="0.25">
      <c r="E550" s="103"/>
      <c r="K550" s="12"/>
      <c r="L550" s="12"/>
      <c r="M550" s="12"/>
      <c r="N550" s="12"/>
      <c r="O550" s="12"/>
      <c r="P550" s="12"/>
      <c r="Q550" s="12"/>
      <c r="R550" s="12"/>
      <c r="S550" s="12"/>
    </row>
    <row r="551" spans="5:19" x14ac:dyDescent="0.25">
      <c r="E551" s="103"/>
      <c r="K551" s="12"/>
      <c r="L551" s="12"/>
      <c r="M551" s="12"/>
      <c r="N551" s="12"/>
      <c r="O551" s="12"/>
      <c r="P551" s="12"/>
      <c r="Q551" s="12"/>
      <c r="R551" s="12"/>
      <c r="S551" s="12"/>
    </row>
    <row r="552" spans="5:19" x14ac:dyDescent="0.25">
      <c r="E552" s="103"/>
      <c r="K552" s="12"/>
      <c r="L552" s="12"/>
      <c r="M552" s="12"/>
      <c r="N552" s="12"/>
      <c r="O552" s="12"/>
      <c r="P552" s="12"/>
      <c r="Q552" s="12"/>
      <c r="R552" s="12"/>
      <c r="S552" s="12"/>
    </row>
    <row r="553" spans="5:19" x14ac:dyDescent="0.25">
      <c r="E553" s="103"/>
      <c r="K553" s="12"/>
      <c r="L553" s="12"/>
      <c r="M553" s="12"/>
      <c r="N553" s="12"/>
      <c r="O553" s="12"/>
      <c r="P553" s="12"/>
      <c r="Q553" s="12"/>
      <c r="R553" s="12"/>
      <c r="S553" s="12"/>
    </row>
    <row r="554" spans="5:19" x14ac:dyDescent="0.25">
      <c r="E554" s="103"/>
      <c r="K554" s="12"/>
      <c r="L554" s="12"/>
      <c r="M554" s="12"/>
      <c r="N554" s="12"/>
      <c r="O554" s="12"/>
      <c r="P554" s="12"/>
      <c r="Q554" s="12"/>
      <c r="R554" s="12"/>
      <c r="S554" s="12"/>
    </row>
    <row r="555" spans="5:19" x14ac:dyDescent="0.25">
      <c r="E555" s="103"/>
      <c r="K555" s="12"/>
      <c r="L555" s="12"/>
      <c r="M555" s="12"/>
      <c r="N555" s="12"/>
      <c r="O555" s="12"/>
      <c r="P555" s="12"/>
      <c r="Q555" s="12"/>
      <c r="R555" s="12"/>
      <c r="S555" s="12"/>
    </row>
    <row r="556" spans="5:19" x14ac:dyDescent="0.25">
      <c r="E556" s="103"/>
      <c r="K556" s="12"/>
      <c r="L556" s="12"/>
      <c r="M556" s="12"/>
      <c r="N556" s="12"/>
      <c r="O556" s="12"/>
      <c r="P556" s="12"/>
      <c r="Q556" s="12"/>
      <c r="R556" s="12"/>
      <c r="S556" s="12"/>
    </row>
    <row r="557" spans="5:19" x14ac:dyDescent="0.25">
      <c r="E557" s="103"/>
      <c r="K557" s="12"/>
      <c r="L557" s="12"/>
      <c r="M557" s="12"/>
      <c r="N557" s="12"/>
      <c r="O557" s="12"/>
      <c r="P557" s="12"/>
      <c r="Q557" s="12"/>
      <c r="R557" s="12"/>
      <c r="S557" s="12"/>
    </row>
    <row r="558" spans="5:19" x14ac:dyDescent="0.25">
      <c r="E558" s="103"/>
      <c r="K558" s="12"/>
      <c r="L558" s="12"/>
      <c r="M558" s="12"/>
      <c r="N558" s="12"/>
      <c r="O558" s="12"/>
      <c r="P558" s="12"/>
      <c r="Q558" s="12"/>
      <c r="R558" s="12"/>
      <c r="S558" s="12"/>
    </row>
    <row r="559" spans="5:19" x14ac:dyDescent="0.25">
      <c r="E559" s="103"/>
      <c r="K559" s="12"/>
      <c r="L559" s="12"/>
      <c r="M559" s="12"/>
      <c r="N559" s="12"/>
      <c r="O559" s="12"/>
      <c r="P559" s="12"/>
      <c r="Q559" s="12"/>
      <c r="R559" s="12"/>
      <c r="S559" s="12"/>
    </row>
    <row r="560" spans="5:19" x14ac:dyDescent="0.25">
      <c r="E560" s="103"/>
      <c r="K560" s="12"/>
      <c r="L560" s="12"/>
      <c r="M560" s="12"/>
      <c r="N560" s="12"/>
      <c r="O560" s="12"/>
      <c r="P560" s="12"/>
      <c r="Q560" s="12"/>
      <c r="R560" s="12"/>
      <c r="S560" s="12"/>
    </row>
    <row r="561" spans="5:19" x14ac:dyDescent="0.25">
      <c r="E561" s="103"/>
      <c r="K561" s="12"/>
      <c r="L561" s="12"/>
      <c r="M561" s="12"/>
      <c r="N561" s="12"/>
      <c r="O561" s="12"/>
      <c r="P561" s="12"/>
      <c r="Q561" s="12"/>
      <c r="R561" s="12"/>
      <c r="S561" s="12"/>
    </row>
    <row r="562" spans="5:19" x14ac:dyDescent="0.25">
      <c r="E562" s="103"/>
      <c r="K562" s="12"/>
      <c r="L562" s="12"/>
      <c r="M562" s="12"/>
      <c r="N562" s="12"/>
      <c r="O562" s="12"/>
      <c r="P562" s="12"/>
      <c r="Q562" s="12"/>
      <c r="R562" s="12"/>
      <c r="S562" s="12"/>
    </row>
    <row r="563" spans="5:19" x14ac:dyDescent="0.25">
      <c r="E563" s="103"/>
      <c r="K563" s="12"/>
      <c r="L563" s="12"/>
      <c r="M563" s="12"/>
      <c r="N563" s="12"/>
      <c r="O563" s="12"/>
      <c r="P563" s="12"/>
      <c r="Q563" s="12"/>
      <c r="R563" s="12"/>
      <c r="S563" s="12"/>
    </row>
    <row r="564" spans="5:19" x14ac:dyDescent="0.25">
      <c r="E564" s="103"/>
      <c r="K564" s="12"/>
      <c r="L564" s="12"/>
      <c r="M564" s="12"/>
      <c r="N564" s="12"/>
      <c r="O564" s="12"/>
      <c r="P564" s="12"/>
      <c r="Q564" s="12"/>
      <c r="R564" s="12"/>
      <c r="S564" s="12"/>
    </row>
    <row r="565" spans="5:19" x14ac:dyDescent="0.25">
      <c r="E565" s="103"/>
      <c r="K565" s="12"/>
      <c r="L565" s="12"/>
      <c r="M565" s="12"/>
      <c r="N565" s="12"/>
      <c r="O565" s="12"/>
      <c r="P565" s="12"/>
      <c r="Q565" s="12"/>
      <c r="R565" s="12"/>
      <c r="S565" s="12"/>
    </row>
    <row r="566" spans="5:19" x14ac:dyDescent="0.25">
      <c r="E566" s="103"/>
      <c r="K566" s="12"/>
      <c r="L566" s="12"/>
      <c r="M566" s="12"/>
      <c r="N566" s="12"/>
      <c r="O566" s="12"/>
      <c r="P566" s="12"/>
      <c r="Q566" s="12"/>
      <c r="R566" s="12"/>
      <c r="S566" s="12"/>
    </row>
    <row r="567" spans="5:19" x14ac:dyDescent="0.25">
      <c r="E567" s="103"/>
      <c r="K567" s="12"/>
      <c r="L567" s="12"/>
      <c r="M567" s="12"/>
      <c r="N567" s="12"/>
      <c r="O567" s="12"/>
      <c r="P567" s="12"/>
      <c r="Q567" s="12"/>
      <c r="R567" s="12"/>
      <c r="S567" s="12"/>
    </row>
    <row r="568" spans="5:19" x14ac:dyDescent="0.25">
      <c r="E568" s="103"/>
      <c r="K568" s="12"/>
      <c r="L568" s="12"/>
      <c r="M568" s="12"/>
      <c r="N568" s="12"/>
      <c r="O568" s="12"/>
      <c r="P568" s="12"/>
      <c r="Q568" s="12"/>
      <c r="R568" s="12"/>
      <c r="S568" s="12"/>
    </row>
    <row r="569" spans="5:19" x14ac:dyDescent="0.25">
      <c r="E569" s="103"/>
      <c r="K569" s="12"/>
      <c r="L569" s="12"/>
      <c r="M569" s="12"/>
      <c r="N569" s="12"/>
      <c r="O569" s="12"/>
      <c r="P569" s="12"/>
      <c r="Q569" s="12"/>
      <c r="R569" s="12"/>
      <c r="S569" s="12"/>
    </row>
    <row r="570" spans="5:19" x14ac:dyDescent="0.25">
      <c r="E570" s="103"/>
      <c r="K570" s="12"/>
      <c r="L570" s="12"/>
      <c r="M570" s="12"/>
      <c r="N570" s="12"/>
      <c r="O570" s="12"/>
      <c r="P570" s="12"/>
      <c r="Q570" s="12"/>
      <c r="R570" s="12"/>
      <c r="S570" s="12"/>
    </row>
    <row r="571" spans="5:19" x14ac:dyDescent="0.25">
      <c r="E571" s="103"/>
      <c r="K571" s="12"/>
      <c r="L571" s="12"/>
      <c r="M571" s="12"/>
      <c r="N571" s="12"/>
      <c r="O571" s="12"/>
      <c r="P571" s="12"/>
      <c r="Q571" s="12"/>
      <c r="R571" s="12"/>
      <c r="S571" s="12"/>
    </row>
    <row r="572" spans="5:19" x14ac:dyDescent="0.25">
      <c r="E572" s="103"/>
      <c r="K572" s="12"/>
      <c r="L572" s="12"/>
      <c r="M572" s="12"/>
      <c r="N572" s="12"/>
      <c r="O572" s="12"/>
      <c r="P572" s="12"/>
      <c r="Q572" s="12"/>
      <c r="R572" s="12"/>
      <c r="S572" s="12"/>
    </row>
    <row r="573" spans="5:19" x14ac:dyDescent="0.25">
      <c r="E573" s="103"/>
      <c r="K573" s="12"/>
      <c r="L573" s="12"/>
      <c r="M573" s="12"/>
      <c r="N573" s="12"/>
      <c r="O573" s="12"/>
      <c r="P573" s="12"/>
      <c r="Q573" s="12"/>
      <c r="R573" s="12"/>
      <c r="S573" s="12"/>
    </row>
    <row r="574" spans="5:19" x14ac:dyDescent="0.25">
      <c r="E574" s="103"/>
      <c r="K574" s="12"/>
      <c r="L574" s="12"/>
      <c r="M574" s="12"/>
      <c r="N574" s="12"/>
      <c r="O574" s="12"/>
      <c r="P574" s="12"/>
      <c r="Q574" s="12"/>
      <c r="R574" s="12"/>
      <c r="S574" s="12"/>
    </row>
    <row r="575" spans="5:19" x14ac:dyDescent="0.25">
      <c r="E575" s="103"/>
      <c r="K575" s="12"/>
      <c r="L575" s="12"/>
      <c r="M575" s="12"/>
      <c r="N575" s="12"/>
      <c r="O575" s="12"/>
      <c r="P575" s="12"/>
      <c r="Q575" s="12"/>
      <c r="R575" s="12"/>
      <c r="S575" s="12"/>
    </row>
    <row r="576" spans="5:19" x14ac:dyDescent="0.25">
      <c r="E576" s="103"/>
      <c r="K576" s="12"/>
      <c r="L576" s="12"/>
      <c r="M576" s="12"/>
      <c r="N576" s="12"/>
      <c r="O576" s="12"/>
      <c r="P576" s="12"/>
      <c r="Q576" s="12"/>
      <c r="R576" s="12"/>
      <c r="S576" s="12"/>
    </row>
    <row r="577" spans="5:19" x14ac:dyDescent="0.25">
      <c r="E577" s="103"/>
      <c r="K577" s="12"/>
      <c r="L577" s="12"/>
      <c r="M577" s="12"/>
      <c r="N577" s="12"/>
      <c r="O577" s="12"/>
      <c r="P577" s="12"/>
      <c r="Q577" s="12"/>
      <c r="R577" s="12"/>
      <c r="S577" s="12"/>
    </row>
    <row r="578" spans="5:19" x14ac:dyDescent="0.25">
      <c r="E578" s="103"/>
      <c r="K578" s="12"/>
      <c r="L578" s="12"/>
      <c r="M578" s="12"/>
      <c r="N578" s="12"/>
      <c r="O578" s="12"/>
      <c r="P578" s="12"/>
      <c r="Q578" s="12"/>
      <c r="R578" s="12"/>
      <c r="S578" s="12"/>
    </row>
    <row r="579" spans="5:19" x14ac:dyDescent="0.25">
      <c r="E579" s="103"/>
      <c r="K579" s="12"/>
      <c r="L579" s="12"/>
      <c r="M579" s="12"/>
      <c r="N579" s="12"/>
      <c r="O579" s="12"/>
      <c r="P579" s="12"/>
      <c r="Q579" s="12"/>
      <c r="R579" s="12"/>
      <c r="S579" s="12"/>
    </row>
    <row r="580" spans="5:19" x14ac:dyDescent="0.25">
      <c r="E580" s="103"/>
      <c r="K580" s="12"/>
      <c r="L580" s="12"/>
      <c r="M580" s="12"/>
      <c r="N580" s="12"/>
      <c r="O580" s="12"/>
      <c r="P580" s="12"/>
      <c r="Q580" s="12"/>
      <c r="R580" s="12"/>
      <c r="S580" s="12"/>
    </row>
    <row r="581" spans="5:19" x14ac:dyDescent="0.25">
      <c r="E581" s="103"/>
      <c r="K581" s="12"/>
      <c r="L581" s="12"/>
      <c r="M581" s="12"/>
      <c r="N581" s="12"/>
      <c r="O581" s="12"/>
      <c r="P581" s="12"/>
      <c r="Q581" s="12"/>
      <c r="R581" s="12"/>
      <c r="S581" s="12"/>
    </row>
    <row r="582" spans="5:19" x14ac:dyDescent="0.25">
      <c r="E582" s="103"/>
      <c r="K582" s="12"/>
      <c r="L582" s="12"/>
      <c r="M582" s="12"/>
      <c r="N582" s="12"/>
      <c r="O582" s="12"/>
      <c r="P582" s="12"/>
      <c r="Q582" s="12"/>
      <c r="R582" s="12"/>
      <c r="S582" s="12"/>
    </row>
    <row r="583" spans="5:19" x14ac:dyDescent="0.25">
      <c r="E583" s="103"/>
      <c r="K583" s="12"/>
      <c r="L583" s="12"/>
      <c r="M583" s="12"/>
      <c r="N583" s="12"/>
      <c r="O583" s="12"/>
      <c r="P583" s="12"/>
      <c r="Q583" s="12"/>
      <c r="R583" s="12"/>
      <c r="S583" s="12"/>
    </row>
    <row r="584" spans="5:19" x14ac:dyDescent="0.25">
      <c r="E584" s="103"/>
      <c r="K584" s="12"/>
      <c r="L584" s="12"/>
      <c r="M584" s="12"/>
      <c r="N584" s="12"/>
      <c r="O584" s="12"/>
      <c r="P584" s="12"/>
      <c r="Q584" s="12"/>
      <c r="R584" s="12"/>
      <c r="S584" s="12"/>
    </row>
    <row r="585" spans="5:19" x14ac:dyDescent="0.25">
      <c r="E585" s="103"/>
      <c r="K585" s="12"/>
      <c r="L585" s="12"/>
      <c r="M585" s="12"/>
      <c r="N585" s="12"/>
      <c r="O585" s="12"/>
      <c r="P585" s="12"/>
      <c r="Q585" s="12"/>
      <c r="R585" s="12"/>
      <c r="S585" s="12"/>
    </row>
    <row r="586" spans="5:19" x14ac:dyDescent="0.25">
      <c r="E586" s="103"/>
      <c r="K586" s="12"/>
      <c r="L586" s="12"/>
      <c r="M586" s="12"/>
      <c r="N586" s="12"/>
      <c r="O586" s="12"/>
      <c r="P586" s="12"/>
      <c r="Q586" s="12"/>
      <c r="R586" s="12"/>
      <c r="S586" s="12"/>
    </row>
    <row r="587" spans="5:19" x14ac:dyDescent="0.25">
      <c r="E587" s="103"/>
      <c r="K587" s="12"/>
      <c r="L587" s="12"/>
      <c r="M587" s="12"/>
      <c r="N587" s="12"/>
      <c r="O587" s="12"/>
      <c r="P587" s="12"/>
      <c r="Q587" s="12"/>
      <c r="R587" s="12"/>
      <c r="S587" s="12"/>
    </row>
    <row r="588" spans="5:19" x14ac:dyDescent="0.25">
      <c r="E588" s="103"/>
      <c r="K588" s="12"/>
      <c r="L588" s="12"/>
      <c r="M588" s="12"/>
      <c r="N588" s="12"/>
      <c r="O588" s="12"/>
      <c r="P588" s="12"/>
      <c r="Q588" s="12"/>
      <c r="R588" s="12"/>
      <c r="S588" s="12"/>
    </row>
    <row r="589" spans="5:19" x14ac:dyDescent="0.25">
      <c r="E589" s="103"/>
      <c r="K589" s="12"/>
      <c r="L589" s="12"/>
      <c r="M589" s="12"/>
      <c r="N589" s="12"/>
      <c r="O589" s="12"/>
      <c r="P589" s="12"/>
      <c r="Q589" s="12"/>
      <c r="R589" s="12"/>
      <c r="S589" s="12"/>
    </row>
    <row r="590" spans="5:19" x14ac:dyDescent="0.25">
      <c r="E590" s="103"/>
      <c r="K590" s="12"/>
      <c r="L590" s="12"/>
      <c r="M590" s="12"/>
      <c r="N590" s="12"/>
      <c r="O590" s="12"/>
      <c r="P590" s="12"/>
      <c r="Q590" s="12"/>
      <c r="R590" s="12"/>
      <c r="S590" s="12"/>
    </row>
    <row r="591" spans="5:19" x14ac:dyDescent="0.25">
      <c r="E591" s="103"/>
      <c r="K591" s="12"/>
      <c r="L591" s="12"/>
      <c r="M591" s="12"/>
      <c r="N591" s="12"/>
      <c r="O591" s="12"/>
      <c r="P591" s="12"/>
      <c r="Q591" s="12"/>
      <c r="R591" s="12"/>
      <c r="S591" s="12"/>
    </row>
    <row r="592" spans="5:19" x14ac:dyDescent="0.25">
      <c r="E592" s="103"/>
      <c r="K592" s="12"/>
      <c r="L592" s="12"/>
      <c r="M592" s="12"/>
      <c r="N592" s="12"/>
      <c r="O592" s="12"/>
      <c r="P592" s="12"/>
      <c r="Q592" s="12"/>
      <c r="R592" s="12"/>
      <c r="S592" s="12"/>
    </row>
    <row r="593" spans="5:19" x14ac:dyDescent="0.25">
      <c r="E593" s="103"/>
      <c r="K593" s="12"/>
      <c r="L593" s="12"/>
      <c r="M593" s="12"/>
      <c r="N593" s="12"/>
      <c r="O593" s="12"/>
      <c r="P593" s="12"/>
      <c r="Q593" s="12"/>
      <c r="R593" s="12"/>
      <c r="S593" s="12"/>
    </row>
    <row r="594" spans="5:19" x14ac:dyDescent="0.25">
      <c r="E594" s="103"/>
      <c r="K594" s="12"/>
      <c r="L594" s="12"/>
      <c r="M594" s="12"/>
      <c r="N594" s="12"/>
      <c r="O594" s="12"/>
      <c r="P594" s="12"/>
      <c r="Q594" s="12"/>
      <c r="R594" s="12"/>
      <c r="S594" s="12"/>
    </row>
    <row r="595" spans="5:19" x14ac:dyDescent="0.25">
      <c r="E595" s="103"/>
      <c r="K595" s="12"/>
      <c r="L595" s="12"/>
      <c r="M595" s="12"/>
      <c r="N595" s="12"/>
      <c r="O595" s="12"/>
      <c r="P595" s="12"/>
      <c r="Q595" s="12"/>
      <c r="R595" s="12"/>
      <c r="S595" s="12"/>
    </row>
    <row r="596" spans="5:19" x14ac:dyDescent="0.25">
      <c r="E596" s="103"/>
      <c r="K596" s="12"/>
      <c r="L596" s="12"/>
      <c r="M596" s="12"/>
      <c r="N596" s="12"/>
      <c r="O596" s="12"/>
      <c r="P596" s="12"/>
      <c r="Q596" s="12"/>
      <c r="R596" s="12"/>
      <c r="S596" s="12"/>
    </row>
    <row r="597" spans="5:19" x14ac:dyDescent="0.25">
      <c r="E597" s="103"/>
      <c r="K597" s="12"/>
      <c r="L597" s="12"/>
      <c r="M597" s="12"/>
      <c r="N597" s="12"/>
      <c r="O597" s="12"/>
      <c r="P597" s="12"/>
      <c r="Q597" s="12"/>
      <c r="R597" s="12"/>
      <c r="S597" s="12"/>
    </row>
    <row r="598" spans="5:19" x14ac:dyDescent="0.25">
      <c r="E598" s="103"/>
      <c r="K598" s="12"/>
      <c r="L598" s="12"/>
      <c r="M598" s="12"/>
      <c r="N598" s="12"/>
      <c r="O598" s="12"/>
      <c r="P598" s="12"/>
      <c r="Q598" s="12"/>
      <c r="R598" s="12"/>
      <c r="S598" s="12"/>
    </row>
    <row r="599" spans="5:19" x14ac:dyDescent="0.25">
      <c r="E599" s="103"/>
      <c r="K599" s="12"/>
      <c r="L599" s="12"/>
      <c r="M599" s="12"/>
      <c r="N599" s="12"/>
      <c r="O599" s="12"/>
      <c r="P599" s="12"/>
      <c r="Q599" s="12"/>
      <c r="R599" s="12"/>
      <c r="S599" s="12"/>
    </row>
    <row r="600" spans="5:19" x14ac:dyDescent="0.25">
      <c r="E600" s="103"/>
      <c r="K600" s="12"/>
      <c r="L600" s="12"/>
      <c r="M600" s="12"/>
      <c r="N600" s="12"/>
      <c r="O600" s="12"/>
      <c r="P600" s="12"/>
      <c r="Q600" s="12"/>
      <c r="R600" s="12"/>
      <c r="S600" s="12"/>
    </row>
    <row r="601" spans="5:19" x14ac:dyDescent="0.25">
      <c r="E601" s="103"/>
      <c r="K601" s="12"/>
      <c r="L601" s="12"/>
      <c r="M601" s="12"/>
      <c r="N601" s="12"/>
      <c r="O601" s="12"/>
      <c r="P601" s="12"/>
      <c r="Q601" s="12"/>
      <c r="R601" s="12"/>
      <c r="S601" s="12"/>
    </row>
    <row r="602" spans="5:19" x14ac:dyDescent="0.25">
      <c r="E602" s="103"/>
      <c r="K602" s="12"/>
      <c r="L602" s="12"/>
      <c r="M602" s="12"/>
      <c r="N602" s="12"/>
      <c r="O602" s="12"/>
      <c r="P602" s="12"/>
      <c r="Q602" s="12"/>
      <c r="R602" s="12"/>
      <c r="S602" s="12"/>
    </row>
    <row r="603" spans="5:19" x14ac:dyDescent="0.25">
      <c r="E603" s="103"/>
      <c r="K603" s="12"/>
      <c r="L603" s="12"/>
      <c r="M603" s="12"/>
      <c r="N603" s="12"/>
      <c r="O603" s="12"/>
      <c r="P603" s="12"/>
      <c r="Q603" s="12"/>
      <c r="R603" s="12"/>
      <c r="S603" s="12"/>
    </row>
    <row r="604" spans="5:19" x14ac:dyDescent="0.25">
      <c r="E604" s="103"/>
      <c r="K604" s="12"/>
      <c r="L604" s="12"/>
      <c r="M604" s="12"/>
      <c r="N604" s="12"/>
      <c r="O604" s="12"/>
      <c r="P604" s="12"/>
      <c r="Q604" s="12"/>
      <c r="R604" s="12"/>
      <c r="S604" s="12"/>
    </row>
    <row r="605" spans="5:19" x14ac:dyDescent="0.25">
      <c r="E605" s="103"/>
      <c r="K605" s="12"/>
      <c r="L605" s="12"/>
      <c r="M605" s="12"/>
      <c r="N605" s="12"/>
      <c r="O605" s="12"/>
      <c r="P605" s="12"/>
      <c r="Q605" s="12"/>
      <c r="R605" s="12"/>
      <c r="S605" s="12"/>
    </row>
    <row r="606" spans="5:19" x14ac:dyDescent="0.25">
      <c r="E606" s="103"/>
      <c r="K606" s="12"/>
      <c r="L606" s="12"/>
      <c r="M606" s="12"/>
      <c r="N606" s="12"/>
      <c r="O606" s="12"/>
      <c r="P606" s="12"/>
      <c r="Q606" s="12"/>
      <c r="R606" s="12"/>
      <c r="S606" s="12"/>
    </row>
    <row r="607" spans="5:19" x14ac:dyDescent="0.25">
      <c r="E607" s="103"/>
      <c r="K607" s="12"/>
      <c r="L607" s="12"/>
      <c r="M607" s="12"/>
      <c r="N607" s="12"/>
      <c r="O607" s="12"/>
      <c r="P607" s="12"/>
      <c r="Q607" s="12"/>
      <c r="R607" s="12"/>
      <c r="S607" s="12"/>
    </row>
    <row r="608" spans="5:19" x14ac:dyDescent="0.25">
      <c r="E608" s="103"/>
      <c r="K608" s="12"/>
      <c r="L608" s="12"/>
      <c r="M608" s="12"/>
      <c r="N608" s="12"/>
      <c r="O608" s="12"/>
      <c r="P608" s="12"/>
      <c r="Q608" s="12"/>
      <c r="R608" s="12"/>
      <c r="S608" s="12"/>
    </row>
    <row r="609" spans="5:19" x14ac:dyDescent="0.25">
      <c r="E609" s="103"/>
      <c r="K609" s="12"/>
      <c r="L609" s="12"/>
      <c r="M609" s="12"/>
      <c r="N609" s="12"/>
      <c r="O609" s="12"/>
      <c r="P609" s="12"/>
      <c r="Q609" s="12"/>
      <c r="R609" s="12"/>
      <c r="S609" s="12"/>
    </row>
    <row r="610" spans="5:19" x14ac:dyDescent="0.25">
      <c r="E610" s="103"/>
      <c r="K610" s="12"/>
      <c r="L610" s="12"/>
      <c r="M610" s="12"/>
      <c r="N610" s="12"/>
      <c r="O610" s="12"/>
      <c r="P610" s="12"/>
      <c r="Q610" s="12"/>
      <c r="R610" s="12"/>
      <c r="S610" s="12"/>
    </row>
    <row r="611" spans="5:19" x14ac:dyDescent="0.25">
      <c r="E611" s="103"/>
      <c r="K611" s="12"/>
      <c r="L611" s="12"/>
      <c r="M611" s="12"/>
      <c r="N611" s="12"/>
      <c r="O611" s="12"/>
      <c r="P611" s="12"/>
      <c r="Q611" s="12"/>
      <c r="R611" s="12"/>
      <c r="S611" s="12"/>
    </row>
    <row r="612" spans="5:19" x14ac:dyDescent="0.25">
      <c r="E612" s="103"/>
      <c r="K612" s="12"/>
      <c r="L612" s="12"/>
      <c r="M612" s="12"/>
      <c r="N612" s="12"/>
      <c r="O612" s="12"/>
      <c r="P612" s="12"/>
      <c r="Q612" s="12"/>
      <c r="R612" s="12"/>
      <c r="S612" s="12"/>
    </row>
    <row r="613" spans="5:19" x14ac:dyDescent="0.25">
      <c r="E613" s="103"/>
      <c r="K613" s="12"/>
      <c r="L613" s="12"/>
      <c r="M613" s="12"/>
      <c r="N613" s="12"/>
      <c r="O613" s="12"/>
      <c r="P613" s="12"/>
      <c r="Q613" s="12"/>
      <c r="R613" s="12"/>
      <c r="S613" s="12"/>
    </row>
    <row r="614" spans="5:19" x14ac:dyDescent="0.25">
      <c r="E614" s="103"/>
      <c r="K614" s="12"/>
      <c r="L614" s="12"/>
      <c r="M614" s="12"/>
      <c r="N614" s="12"/>
      <c r="O614" s="12"/>
      <c r="P614" s="12"/>
      <c r="Q614" s="12"/>
      <c r="R614" s="12"/>
      <c r="S614" s="12"/>
    </row>
    <row r="615" spans="5:19" x14ac:dyDescent="0.25">
      <c r="E615" s="103"/>
      <c r="K615" s="12"/>
      <c r="L615" s="12"/>
      <c r="M615" s="12"/>
      <c r="N615" s="12"/>
      <c r="O615" s="12"/>
      <c r="P615" s="12"/>
      <c r="Q615" s="12"/>
      <c r="R615" s="12"/>
      <c r="S615" s="12"/>
    </row>
    <row r="616" spans="5:19" x14ac:dyDescent="0.25">
      <c r="E616" s="103"/>
      <c r="K616" s="12"/>
      <c r="L616" s="12"/>
      <c r="M616" s="12"/>
      <c r="N616" s="12"/>
      <c r="O616" s="12"/>
      <c r="P616" s="12"/>
      <c r="Q616" s="12"/>
      <c r="R616" s="12"/>
      <c r="S616" s="12"/>
    </row>
    <row r="617" spans="5:19" x14ac:dyDescent="0.25">
      <c r="E617" s="103"/>
      <c r="K617" s="12"/>
      <c r="L617" s="12"/>
      <c r="M617" s="12"/>
      <c r="N617" s="12"/>
      <c r="O617" s="12"/>
      <c r="P617" s="12"/>
      <c r="Q617" s="12"/>
      <c r="R617" s="12"/>
      <c r="S617" s="12"/>
    </row>
    <row r="618" spans="5:19" x14ac:dyDescent="0.25">
      <c r="E618" s="103"/>
      <c r="K618" s="12"/>
      <c r="L618" s="12"/>
      <c r="M618" s="12"/>
      <c r="N618" s="12"/>
      <c r="O618" s="12"/>
      <c r="P618" s="12"/>
      <c r="Q618" s="12"/>
      <c r="R618" s="12"/>
      <c r="S618" s="12"/>
    </row>
    <row r="619" spans="5:19" x14ac:dyDescent="0.25">
      <c r="E619" s="103"/>
      <c r="K619" s="12"/>
      <c r="L619" s="12"/>
      <c r="M619" s="12"/>
      <c r="N619" s="12"/>
      <c r="O619" s="12"/>
      <c r="P619" s="12"/>
      <c r="Q619" s="12"/>
      <c r="R619" s="12"/>
      <c r="S619" s="12"/>
    </row>
    <row r="620" spans="5:19" x14ac:dyDescent="0.25">
      <c r="E620" s="103"/>
      <c r="K620" s="12"/>
      <c r="L620" s="12"/>
      <c r="M620" s="12"/>
      <c r="N620" s="12"/>
      <c r="O620" s="12"/>
      <c r="P620" s="12"/>
      <c r="Q620" s="12"/>
      <c r="R620" s="12"/>
      <c r="S620" s="12"/>
    </row>
    <row r="621" spans="5:19" x14ac:dyDescent="0.25">
      <c r="E621" s="103"/>
      <c r="K621" s="12"/>
      <c r="L621" s="12"/>
      <c r="M621" s="12"/>
      <c r="N621" s="12"/>
      <c r="O621" s="12"/>
      <c r="P621" s="12"/>
      <c r="Q621" s="12"/>
      <c r="R621" s="12"/>
      <c r="S621" s="12"/>
    </row>
    <row r="622" spans="5:19" x14ac:dyDescent="0.25">
      <c r="E622" s="103"/>
      <c r="K622" s="12"/>
      <c r="L622" s="12"/>
      <c r="M622" s="12"/>
      <c r="N622" s="12"/>
      <c r="O622" s="12"/>
      <c r="P622" s="12"/>
      <c r="Q622" s="12"/>
      <c r="R622" s="12"/>
      <c r="S622" s="12"/>
    </row>
    <row r="623" spans="5:19" x14ac:dyDescent="0.25">
      <c r="E623" s="103"/>
      <c r="K623" s="12"/>
      <c r="L623" s="12"/>
      <c r="M623" s="12"/>
      <c r="N623" s="12"/>
      <c r="O623" s="12"/>
      <c r="P623" s="12"/>
      <c r="Q623" s="12"/>
      <c r="R623" s="12"/>
      <c r="S623" s="12"/>
    </row>
    <row r="624" spans="5:19" x14ac:dyDescent="0.25">
      <c r="E624" s="103"/>
      <c r="K624" s="12"/>
      <c r="L624" s="12"/>
      <c r="M624" s="12"/>
      <c r="N624" s="12"/>
      <c r="O624" s="12"/>
      <c r="P624" s="12"/>
      <c r="Q624" s="12"/>
      <c r="R624" s="12"/>
      <c r="S624" s="12"/>
    </row>
    <row r="625" spans="5:19" x14ac:dyDescent="0.25">
      <c r="E625" s="103"/>
      <c r="K625" s="12"/>
      <c r="L625" s="12"/>
      <c r="M625" s="12"/>
      <c r="N625" s="12"/>
      <c r="O625" s="12"/>
      <c r="P625" s="12"/>
      <c r="Q625" s="12"/>
      <c r="R625" s="12"/>
      <c r="S625" s="12"/>
    </row>
    <row r="626" spans="5:19" x14ac:dyDescent="0.25">
      <c r="E626" s="103"/>
      <c r="K626" s="12"/>
      <c r="L626" s="12"/>
      <c r="M626" s="12"/>
      <c r="N626" s="12"/>
      <c r="O626" s="12"/>
      <c r="P626" s="12"/>
      <c r="Q626" s="12"/>
      <c r="R626" s="12"/>
      <c r="S626" s="12"/>
    </row>
    <row r="627" spans="5:19" x14ac:dyDescent="0.25">
      <c r="E627" s="103"/>
      <c r="K627" s="12"/>
      <c r="L627" s="12"/>
      <c r="M627" s="12"/>
      <c r="N627" s="12"/>
      <c r="O627" s="12"/>
      <c r="P627" s="12"/>
      <c r="Q627" s="12"/>
      <c r="R627" s="12"/>
      <c r="S627" s="12"/>
    </row>
    <row r="628" spans="5:19" x14ac:dyDescent="0.25">
      <c r="E628" s="103"/>
      <c r="K628" s="12"/>
      <c r="L628" s="12"/>
      <c r="M628" s="12"/>
      <c r="N628" s="12"/>
      <c r="O628" s="12"/>
      <c r="P628" s="12"/>
      <c r="Q628" s="12"/>
      <c r="R628" s="12"/>
      <c r="S628" s="12"/>
    </row>
    <row r="629" spans="5:19" x14ac:dyDescent="0.25">
      <c r="E629" s="103"/>
      <c r="K629" s="12"/>
      <c r="L629" s="12"/>
      <c r="M629" s="12"/>
      <c r="N629" s="12"/>
      <c r="O629" s="12"/>
      <c r="P629" s="12"/>
      <c r="Q629" s="12"/>
      <c r="R629" s="12"/>
      <c r="S629" s="12"/>
    </row>
    <row r="630" spans="5:19" x14ac:dyDescent="0.25">
      <c r="E630" s="103"/>
      <c r="K630" s="12"/>
      <c r="L630" s="12"/>
      <c r="M630" s="12"/>
      <c r="N630" s="12"/>
      <c r="O630" s="12"/>
      <c r="P630" s="12"/>
      <c r="Q630" s="12"/>
      <c r="R630" s="12"/>
      <c r="S630" s="12"/>
    </row>
    <row r="631" spans="5:19" x14ac:dyDescent="0.25">
      <c r="E631" s="103"/>
      <c r="K631" s="12"/>
      <c r="L631" s="12"/>
      <c r="M631" s="12"/>
      <c r="N631" s="12"/>
      <c r="O631" s="12"/>
      <c r="P631" s="12"/>
      <c r="Q631" s="12"/>
      <c r="R631" s="12"/>
      <c r="S631" s="12"/>
    </row>
    <row r="632" spans="5:19" x14ac:dyDescent="0.25">
      <c r="E632" s="103"/>
      <c r="K632" s="12"/>
      <c r="L632" s="12"/>
      <c r="M632" s="12"/>
      <c r="N632" s="12"/>
      <c r="O632" s="12"/>
      <c r="P632" s="12"/>
      <c r="Q632" s="12"/>
      <c r="R632" s="12"/>
      <c r="S632" s="12"/>
    </row>
    <row r="633" spans="5:19" x14ac:dyDescent="0.25">
      <c r="E633" s="103"/>
      <c r="K633" s="12"/>
      <c r="L633" s="12"/>
      <c r="M633" s="12"/>
      <c r="N633" s="12"/>
      <c r="O633" s="12"/>
      <c r="P633" s="12"/>
      <c r="Q633" s="12"/>
      <c r="R633" s="12"/>
      <c r="S633" s="12"/>
    </row>
    <row r="634" spans="5:19" x14ac:dyDescent="0.25">
      <c r="E634" s="103"/>
      <c r="K634" s="12"/>
      <c r="L634" s="12"/>
      <c r="M634" s="12"/>
      <c r="N634" s="12"/>
      <c r="O634" s="12"/>
      <c r="P634" s="12"/>
      <c r="Q634" s="12"/>
      <c r="R634" s="12"/>
      <c r="S634" s="12"/>
    </row>
    <row r="635" spans="5:19" x14ac:dyDescent="0.25">
      <c r="E635" s="103"/>
      <c r="K635" s="12"/>
      <c r="L635" s="12"/>
      <c r="M635" s="12"/>
      <c r="N635" s="12"/>
      <c r="O635" s="12"/>
      <c r="P635" s="12"/>
      <c r="Q635" s="12"/>
      <c r="R635" s="12"/>
      <c r="S635" s="12"/>
    </row>
    <row r="636" spans="5:19" x14ac:dyDescent="0.25">
      <c r="E636" s="103"/>
      <c r="K636" s="12"/>
      <c r="L636" s="12"/>
      <c r="M636" s="12"/>
      <c r="N636" s="12"/>
      <c r="O636" s="12"/>
      <c r="P636" s="12"/>
      <c r="Q636" s="12"/>
      <c r="R636" s="12"/>
      <c r="S636" s="12"/>
    </row>
    <row r="637" spans="5:19" x14ac:dyDescent="0.25">
      <c r="E637" s="103"/>
      <c r="K637" s="12"/>
      <c r="L637" s="12"/>
      <c r="M637" s="12"/>
      <c r="N637" s="12"/>
      <c r="O637" s="12"/>
      <c r="P637" s="12"/>
      <c r="Q637" s="12"/>
      <c r="R637" s="12"/>
      <c r="S637" s="12"/>
    </row>
    <row r="638" spans="5:19" x14ac:dyDescent="0.25">
      <c r="E638" s="103"/>
      <c r="K638" s="12"/>
      <c r="L638" s="12"/>
      <c r="M638" s="12"/>
      <c r="N638" s="12"/>
      <c r="O638" s="12"/>
      <c r="P638" s="12"/>
      <c r="Q638" s="12"/>
      <c r="R638" s="12"/>
      <c r="S638" s="12"/>
    </row>
    <row r="639" spans="5:19" x14ac:dyDescent="0.25">
      <c r="E639" s="103"/>
      <c r="K639" s="12"/>
      <c r="L639" s="12"/>
      <c r="M639" s="12"/>
      <c r="N639" s="12"/>
      <c r="O639" s="12"/>
      <c r="P639" s="12"/>
      <c r="Q639" s="12"/>
      <c r="R639" s="12"/>
      <c r="S639" s="12"/>
    </row>
    <row r="640" spans="5:19" x14ac:dyDescent="0.25">
      <c r="E640" s="103"/>
      <c r="K640" s="12"/>
      <c r="L640" s="12"/>
      <c r="M640" s="12"/>
      <c r="N640" s="12"/>
      <c r="O640" s="12"/>
      <c r="P640" s="12"/>
      <c r="Q640" s="12"/>
      <c r="R640" s="12"/>
      <c r="S640" s="12"/>
    </row>
    <row r="641" spans="5:19" x14ac:dyDescent="0.25">
      <c r="E641" s="103"/>
      <c r="K641" s="12"/>
      <c r="L641" s="12"/>
      <c r="M641" s="12"/>
      <c r="N641" s="12"/>
      <c r="O641" s="12"/>
      <c r="P641" s="12"/>
      <c r="Q641" s="12"/>
      <c r="R641" s="12"/>
      <c r="S641" s="12"/>
    </row>
    <row r="642" spans="5:19" x14ac:dyDescent="0.25">
      <c r="E642" s="103"/>
      <c r="K642" s="12"/>
      <c r="L642" s="12"/>
      <c r="M642" s="12"/>
      <c r="N642" s="12"/>
      <c r="O642" s="12"/>
      <c r="P642" s="12"/>
      <c r="Q642" s="12"/>
      <c r="R642" s="12"/>
      <c r="S642" s="12"/>
    </row>
    <row r="643" spans="5:19" x14ac:dyDescent="0.25">
      <c r="E643" s="103"/>
      <c r="K643" s="12"/>
      <c r="L643" s="12"/>
      <c r="M643" s="12"/>
      <c r="N643" s="12"/>
      <c r="O643" s="12"/>
      <c r="P643" s="12"/>
      <c r="Q643" s="12"/>
      <c r="R643" s="12"/>
      <c r="S643" s="12"/>
    </row>
    <row r="644" spans="5:19" x14ac:dyDescent="0.25">
      <c r="E644" s="103"/>
      <c r="K644" s="12"/>
      <c r="L644" s="12"/>
      <c r="M644" s="12"/>
      <c r="N644" s="12"/>
      <c r="O644" s="12"/>
      <c r="P644" s="12"/>
      <c r="Q644" s="12"/>
      <c r="R644" s="12"/>
      <c r="S644" s="12"/>
    </row>
    <row r="645" spans="5:19" x14ac:dyDescent="0.25">
      <c r="E645" s="103"/>
      <c r="K645" s="12"/>
      <c r="L645" s="12"/>
      <c r="M645" s="12"/>
      <c r="N645" s="12"/>
      <c r="O645" s="12"/>
      <c r="P645" s="12"/>
      <c r="Q645" s="12"/>
      <c r="R645" s="12"/>
      <c r="S645" s="12"/>
    </row>
    <row r="646" spans="5:19" x14ac:dyDescent="0.25">
      <c r="E646" s="103"/>
      <c r="K646" s="12"/>
      <c r="L646" s="12"/>
      <c r="M646" s="12"/>
      <c r="N646" s="12"/>
      <c r="O646" s="12"/>
      <c r="P646" s="12"/>
      <c r="Q646" s="12"/>
      <c r="R646" s="12"/>
      <c r="S646" s="12"/>
    </row>
    <row r="647" spans="5:19" x14ac:dyDescent="0.25">
      <c r="E647" s="103"/>
      <c r="K647" s="12"/>
      <c r="L647" s="12"/>
      <c r="M647" s="12"/>
      <c r="N647" s="12"/>
      <c r="O647" s="12"/>
      <c r="P647" s="12"/>
      <c r="Q647" s="12"/>
      <c r="R647" s="12"/>
      <c r="S647" s="12"/>
    </row>
    <row r="648" spans="5:19" x14ac:dyDescent="0.25">
      <c r="E648" s="103"/>
      <c r="K648" s="12"/>
      <c r="L648" s="12"/>
      <c r="M648" s="12"/>
      <c r="N648" s="12"/>
      <c r="O648" s="12"/>
      <c r="P648" s="12"/>
      <c r="Q648" s="12"/>
      <c r="R648" s="12"/>
      <c r="S648" s="12"/>
    </row>
    <row r="649" spans="5:19" x14ac:dyDescent="0.25">
      <c r="E649" s="103"/>
      <c r="K649" s="12"/>
      <c r="L649" s="12"/>
      <c r="M649" s="12"/>
      <c r="N649" s="12"/>
      <c r="O649" s="12"/>
      <c r="P649" s="12"/>
      <c r="Q649" s="12"/>
      <c r="R649" s="12"/>
      <c r="S649" s="12"/>
    </row>
    <row r="650" spans="5:19" x14ac:dyDescent="0.25">
      <c r="E650" s="103"/>
      <c r="K650" s="12"/>
      <c r="L650" s="12"/>
      <c r="M650" s="12"/>
      <c r="N650" s="12"/>
      <c r="O650" s="12"/>
      <c r="P650" s="12"/>
      <c r="Q650" s="12"/>
      <c r="R650" s="12"/>
      <c r="S650" s="12"/>
    </row>
    <row r="651" spans="5:19" x14ac:dyDescent="0.25">
      <c r="E651" s="103"/>
      <c r="K651" s="12"/>
      <c r="L651" s="12"/>
      <c r="M651" s="12"/>
      <c r="N651" s="12"/>
      <c r="O651" s="12"/>
      <c r="P651" s="12"/>
      <c r="Q651" s="12"/>
      <c r="R651" s="12"/>
      <c r="S651" s="12"/>
    </row>
    <row r="652" spans="5:19" x14ac:dyDescent="0.25">
      <c r="E652" s="103"/>
      <c r="K652" s="12"/>
      <c r="L652" s="12"/>
      <c r="M652" s="12"/>
      <c r="N652" s="12"/>
      <c r="O652" s="12"/>
      <c r="P652" s="12"/>
      <c r="Q652" s="12"/>
      <c r="R652" s="12"/>
      <c r="S652" s="12"/>
    </row>
    <row r="653" spans="5:19" x14ac:dyDescent="0.25">
      <c r="E653" s="103"/>
      <c r="K653" s="12"/>
      <c r="L653" s="12"/>
      <c r="M653" s="12"/>
      <c r="N653" s="12"/>
      <c r="O653" s="12"/>
      <c r="P653" s="12"/>
      <c r="Q653" s="12"/>
      <c r="R653" s="12"/>
      <c r="S653" s="12"/>
    </row>
    <row r="654" spans="5:19" x14ac:dyDescent="0.25">
      <c r="E654" s="103"/>
      <c r="K654" s="12"/>
      <c r="L654" s="12"/>
      <c r="M654" s="12"/>
      <c r="N654" s="12"/>
      <c r="O654" s="12"/>
      <c r="P654" s="12"/>
      <c r="Q654" s="12"/>
      <c r="R654" s="12"/>
      <c r="S654" s="12"/>
    </row>
    <row r="655" spans="5:19" x14ac:dyDescent="0.25">
      <c r="E655" s="103"/>
      <c r="K655" s="12"/>
      <c r="L655" s="12"/>
      <c r="M655" s="12"/>
      <c r="N655" s="12"/>
      <c r="O655" s="12"/>
      <c r="P655" s="12"/>
      <c r="Q655" s="12"/>
      <c r="R655" s="12"/>
      <c r="S655" s="12"/>
    </row>
    <row r="656" spans="5:19" x14ac:dyDescent="0.25">
      <c r="E656" s="103"/>
      <c r="K656" s="12"/>
      <c r="L656" s="12"/>
      <c r="M656" s="12"/>
      <c r="N656" s="12"/>
      <c r="O656" s="12"/>
      <c r="P656" s="12"/>
      <c r="Q656" s="12"/>
      <c r="R656" s="12"/>
      <c r="S656" s="12"/>
    </row>
    <row r="657" spans="5:19" x14ac:dyDescent="0.25">
      <c r="E657" s="103"/>
      <c r="K657" s="12"/>
      <c r="L657" s="12"/>
      <c r="M657" s="12"/>
      <c r="N657" s="12"/>
      <c r="O657" s="12"/>
      <c r="P657" s="12"/>
      <c r="Q657" s="12"/>
      <c r="R657" s="12"/>
      <c r="S657" s="12"/>
    </row>
    <row r="658" spans="5:19" x14ac:dyDescent="0.25">
      <c r="E658" s="103"/>
      <c r="K658" s="12"/>
      <c r="L658" s="12"/>
      <c r="M658" s="12"/>
      <c r="N658" s="12"/>
      <c r="O658" s="12"/>
      <c r="P658" s="12"/>
      <c r="Q658" s="12"/>
      <c r="R658" s="12"/>
      <c r="S658" s="12"/>
    </row>
    <row r="659" spans="5:19" x14ac:dyDescent="0.25">
      <c r="E659" s="103"/>
      <c r="K659" s="12"/>
      <c r="L659" s="12"/>
      <c r="M659" s="12"/>
      <c r="N659" s="12"/>
      <c r="O659" s="12"/>
      <c r="P659" s="12"/>
      <c r="Q659" s="12"/>
      <c r="R659" s="12"/>
      <c r="S659" s="12"/>
    </row>
    <row r="660" spans="5:19" x14ac:dyDescent="0.25">
      <c r="E660" s="103"/>
      <c r="K660" s="12"/>
      <c r="L660" s="12"/>
      <c r="M660" s="12"/>
      <c r="N660" s="12"/>
      <c r="O660" s="12"/>
      <c r="P660" s="12"/>
      <c r="Q660" s="12"/>
      <c r="R660" s="12"/>
      <c r="S660" s="12"/>
    </row>
    <row r="661" spans="5:19" x14ac:dyDescent="0.25">
      <c r="E661" s="103"/>
      <c r="K661" s="12"/>
      <c r="L661" s="12"/>
      <c r="M661" s="12"/>
      <c r="N661" s="12"/>
      <c r="O661" s="12"/>
      <c r="P661" s="12"/>
      <c r="Q661" s="12"/>
      <c r="R661" s="12"/>
      <c r="S661" s="12"/>
    </row>
    <row r="662" spans="5:19" x14ac:dyDescent="0.25">
      <c r="E662" s="103"/>
      <c r="K662" s="12"/>
      <c r="L662" s="12"/>
      <c r="M662" s="12"/>
      <c r="N662" s="12"/>
      <c r="O662" s="12"/>
      <c r="P662" s="12"/>
      <c r="Q662" s="12"/>
      <c r="R662" s="12"/>
      <c r="S662" s="12"/>
    </row>
    <row r="663" spans="5:19" x14ac:dyDescent="0.25">
      <c r="E663" s="103"/>
      <c r="K663" s="12"/>
      <c r="L663" s="12"/>
      <c r="M663" s="12"/>
      <c r="N663" s="12"/>
      <c r="O663" s="12"/>
      <c r="P663" s="12"/>
      <c r="Q663" s="12"/>
      <c r="R663" s="12"/>
      <c r="S663" s="12"/>
    </row>
    <row r="664" spans="5:19" x14ac:dyDescent="0.25">
      <c r="E664" s="103"/>
      <c r="K664" s="12"/>
      <c r="L664" s="12"/>
      <c r="M664" s="12"/>
      <c r="N664" s="12"/>
      <c r="O664" s="12"/>
      <c r="P664" s="12"/>
      <c r="Q664" s="12"/>
      <c r="R664" s="12"/>
      <c r="S664" s="12"/>
    </row>
    <row r="665" spans="5:19" x14ac:dyDescent="0.25">
      <c r="E665" s="103"/>
      <c r="K665" s="12"/>
      <c r="L665" s="12"/>
      <c r="M665" s="12"/>
      <c r="N665" s="12"/>
      <c r="O665" s="12"/>
      <c r="P665" s="12"/>
      <c r="Q665" s="12"/>
      <c r="R665" s="12"/>
      <c r="S665" s="12"/>
    </row>
    <row r="666" spans="5:19" x14ac:dyDescent="0.25">
      <c r="E666" s="103"/>
      <c r="K666" s="12"/>
      <c r="L666" s="12"/>
      <c r="M666" s="12"/>
      <c r="N666" s="12"/>
      <c r="O666" s="12"/>
      <c r="P666" s="12"/>
      <c r="Q666" s="12"/>
      <c r="R666" s="12"/>
      <c r="S666" s="12"/>
    </row>
    <row r="667" spans="5:19" x14ac:dyDescent="0.25">
      <c r="E667" s="103"/>
      <c r="K667" s="12"/>
      <c r="L667" s="12"/>
      <c r="M667" s="12"/>
      <c r="N667" s="12"/>
      <c r="O667" s="12"/>
      <c r="P667" s="12"/>
      <c r="Q667" s="12"/>
      <c r="R667" s="12"/>
      <c r="S667" s="12"/>
    </row>
    <row r="668" spans="5:19" x14ac:dyDescent="0.25">
      <c r="E668" s="103"/>
      <c r="K668" s="12"/>
      <c r="L668" s="12"/>
      <c r="M668" s="12"/>
      <c r="N668" s="12"/>
      <c r="O668" s="12"/>
      <c r="P668" s="12"/>
      <c r="Q668" s="12"/>
      <c r="R668" s="12"/>
      <c r="S668" s="12"/>
    </row>
    <row r="669" spans="5:19" x14ac:dyDescent="0.25">
      <c r="E669" s="103"/>
      <c r="K669" s="12"/>
      <c r="L669" s="12"/>
      <c r="M669" s="12"/>
      <c r="N669" s="12"/>
      <c r="O669" s="12"/>
      <c r="P669" s="12"/>
      <c r="Q669" s="12"/>
      <c r="R669" s="12"/>
      <c r="S669" s="12"/>
    </row>
    <row r="670" spans="5:19" x14ac:dyDescent="0.25">
      <c r="E670" s="103"/>
      <c r="K670" s="12"/>
      <c r="L670" s="12"/>
      <c r="M670" s="12"/>
      <c r="N670" s="12"/>
      <c r="O670" s="12"/>
      <c r="P670" s="12"/>
      <c r="Q670" s="12"/>
      <c r="R670" s="12"/>
      <c r="S670" s="12"/>
    </row>
    <row r="671" spans="5:19" x14ac:dyDescent="0.25">
      <c r="E671" s="103"/>
      <c r="K671" s="12"/>
      <c r="L671" s="12"/>
      <c r="M671" s="12"/>
      <c r="N671" s="12"/>
      <c r="O671" s="12"/>
      <c r="P671" s="12"/>
      <c r="Q671" s="12"/>
      <c r="R671" s="12"/>
      <c r="S671" s="12"/>
    </row>
    <row r="672" spans="5:19" x14ac:dyDescent="0.25">
      <c r="E672" s="103"/>
      <c r="K672" s="12"/>
      <c r="L672" s="12"/>
      <c r="M672" s="12"/>
      <c r="N672" s="12"/>
      <c r="O672" s="12"/>
      <c r="P672" s="12"/>
      <c r="Q672" s="12"/>
      <c r="R672" s="12"/>
      <c r="S672" s="12"/>
    </row>
    <row r="673" spans="5:19" x14ac:dyDescent="0.25">
      <c r="E673" s="103"/>
      <c r="K673" s="12"/>
      <c r="L673" s="12"/>
      <c r="M673" s="12"/>
      <c r="N673" s="12"/>
      <c r="O673" s="12"/>
      <c r="P673" s="12"/>
      <c r="Q673" s="12"/>
      <c r="R673" s="12"/>
      <c r="S673" s="12"/>
    </row>
    <row r="674" spans="5:19" x14ac:dyDescent="0.25">
      <c r="E674" s="103"/>
      <c r="K674" s="12"/>
      <c r="L674" s="12"/>
      <c r="M674" s="12"/>
      <c r="N674" s="12"/>
      <c r="O674" s="12"/>
      <c r="P674" s="12"/>
      <c r="Q674" s="12"/>
      <c r="R674" s="12"/>
      <c r="S674" s="12"/>
    </row>
    <row r="675" spans="5:19" x14ac:dyDescent="0.25">
      <c r="E675" s="103"/>
      <c r="K675" s="12"/>
      <c r="L675" s="12"/>
      <c r="M675" s="12"/>
      <c r="N675" s="12"/>
      <c r="O675" s="12"/>
      <c r="P675" s="12"/>
      <c r="Q675" s="12"/>
      <c r="R675" s="12"/>
      <c r="S675" s="12"/>
    </row>
    <row r="676" spans="5:19" x14ac:dyDescent="0.25">
      <c r="E676" s="103"/>
      <c r="K676" s="12"/>
      <c r="L676" s="12"/>
      <c r="M676" s="12"/>
      <c r="N676" s="12"/>
      <c r="O676" s="12"/>
      <c r="P676" s="12"/>
      <c r="Q676" s="12"/>
      <c r="R676" s="12"/>
      <c r="S676" s="12"/>
    </row>
    <row r="677" spans="5:19" x14ac:dyDescent="0.25">
      <c r="E677" s="103"/>
      <c r="K677" s="12"/>
      <c r="L677" s="12"/>
      <c r="M677" s="12"/>
      <c r="N677" s="12"/>
      <c r="O677" s="12"/>
      <c r="P677" s="12"/>
      <c r="Q677" s="12"/>
      <c r="R677" s="12"/>
      <c r="S677" s="12"/>
    </row>
    <row r="678" spans="5:19" x14ac:dyDescent="0.25">
      <c r="E678" s="103"/>
      <c r="K678" s="12"/>
      <c r="L678" s="12"/>
      <c r="M678" s="12"/>
      <c r="N678" s="12"/>
      <c r="O678" s="12"/>
      <c r="P678" s="12"/>
      <c r="Q678" s="12"/>
      <c r="R678" s="12"/>
      <c r="S678" s="12"/>
    </row>
    <row r="679" spans="5:19" x14ac:dyDescent="0.25">
      <c r="E679" s="103"/>
      <c r="K679" s="12"/>
      <c r="L679" s="12"/>
      <c r="M679" s="12"/>
      <c r="N679" s="12"/>
      <c r="O679" s="12"/>
      <c r="P679" s="12"/>
      <c r="Q679" s="12"/>
      <c r="R679" s="12"/>
      <c r="S679" s="12"/>
    </row>
    <row r="680" spans="5:19" x14ac:dyDescent="0.25">
      <c r="E680" s="103"/>
      <c r="K680" s="12"/>
      <c r="L680" s="12"/>
      <c r="M680" s="12"/>
      <c r="N680" s="12"/>
      <c r="O680" s="12"/>
      <c r="P680" s="12"/>
      <c r="Q680" s="12"/>
      <c r="R680" s="12"/>
      <c r="S680" s="12"/>
    </row>
    <row r="681" spans="5:19" x14ac:dyDescent="0.25">
      <c r="E681" s="103"/>
      <c r="K681" s="12"/>
      <c r="L681" s="12"/>
      <c r="M681" s="12"/>
      <c r="N681" s="12"/>
      <c r="O681" s="12"/>
      <c r="P681" s="12"/>
      <c r="Q681" s="12"/>
      <c r="R681" s="12"/>
      <c r="S681" s="12"/>
    </row>
    <row r="682" spans="5:19" x14ac:dyDescent="0.25">
      <c r="E682" s="103"/>
      <c r="K682" s="12"/>
      <c r="L682" s="12"/>
      <c r="M682" s="12"/>
      <c r="N682" s="12"/>
      <c r="O682" s="12"/>
      <c r="P682" s="12"/>
      <c r="Q682" s="12"/>
      <c r="R682" s="12"/>
      <c r="S682" s="12"/>
    </row>
    <row r="683" spans="5:19" x14ac:dyDescent="0.25">
      <c r="E683" s="103"/>
      <c r="K683" s="12"/>
      <c r="L683" s="12"/>
      <c r="M683" s="12"/>
      <c r="N683" s="12"/>
      <c r="O683" s="12"/>
      <c r="P683" s="12"/>
      <c r="Q683" s="12"/>
      <c r="R683" s="12"/>
      <c r="S683" s="12"/>
    </row>
    <row r="684" spans="5:19" x14ac:dyDescent="0.25">
      <c r="E684" s="103"/>
      <c r="K684" s="12"/>
      <c r="L684" s="12"/>
      <c r="M684" s="12"/>
      <c r="N684" s="12"/>
      <c r="O684" s="12"/>
      <c r="P684" s="12"/>
      <c r="Q684" s="12"/>
      <c r="R684" s="12"/>
      <c r="S684" s="12"/>
    </row>
    <row r="685" spans="5:19" x14ac:dyDescent="0.25">
      <c r="E685" s="103"/>
      <c r="K685" s="12"/>
      <c r="L685" s="12"/>
      <c r="M685" s="12"/>
      <c r="N685" s="12"/>
      <c r="O685" s="12"/>
      <c r="P685" s="12"/>
      <c r="Q685" s="12"/>
      <c r="R685" s="12"/>
      <c r="S685" s="12"/>
    </row>
    <row r="686" spans="5:19" x14ac:dyDescent="0.25">
      <c r="E686" s="103"/>
      <c r="K686" s="12"/>
      <c r="L686" s="12"/>
      <c r="M686" s="12"/>
      <c r="N686" s="12"/>
      <c r="O686" s="12"/>
      <c r="P686" s="12"/>
      <c r="Q686" s="12"/>
      <c r="R686" s="12"/>
      <c r="S686" s="12"/>
    </row>
    <row r="687" spans="5:19" x14ac:dyDescent="0.25">
      <c r="E687" s="103"/>
      <c r="K687" s="12"/>
      <c r="L687" s="12"/>
      <c r="M687" s="12"/>
      <c r="N687" s="12"/>
      <c r="O687" s="12"/>
      <c r="P687" s="12"/>
      <c r="Q687" s="12"/>
      <c r="R687" s="12"/>
      <c r="S687" s="12"/>
    </row>
    <row r="688" spans="5:19" x14ac:dyDescent="0.25">
      <c r="E688" s="103"/>
      <c r="K688" s="12"/>
      <c r="L688" s="12"/>
      <c r="M688" s="12"/>
      <c r="N688" s="12"/>
      <c r="O688" s="12"/>
      <c r="P688" s="12"/>
      <c r="Q688" s="12"/>
      <c r="R688" s="12"/>
      <c r="S688" s="12"/>
    </row>
    <row r="689" spans="5:19" x14ac:dyDescent="0.25">
      <c r="E689" s="103"/>
      <c r="K689" s="12"/>
      <c r="L689" s="12"/>
      <c r="M689" s="12"/>
      <c r="N689" s="12"/>
      <c r="O689" s="12"/>
      <c r="P689" s="12"/>
      <c r="Q689" s="12"/>
      <c r="R689" s="12"/>
      <c r="S689" s="12"/>
    </row>
    <row r="690" spans="5:19" x14ac:dyDescent="0.25">
      <c r="E690" s="103"/>
      <c r="K690" s="12"/>
      <c r="L690" s="12"/>
      <c r="M690" s="12"/>
      <c r="N690" s="12"/>
      <c r="O690" s="12"/>
      <c r="P690" s="12"/>
      <c r="Q690" s="12"/>
      <c r="R690" s="12"/>
      <c r="S690" s="12"/>
    </row>
    <row r="691" spans="5:19" x14ac:dyDescent="0.25">
      <c r="E691" s="103"/>
      <c r="K691" s="12"/>
      <c r="L691" s="12"/>
      <c r="M691" s="12"/>
      <c r="N691" s="12"/>
      <c r="O691" s="12"/>
      <c r="P691" s="12"/>
      <c r="Q691" s="12"/>
      <c r="R691" s="12"/>
      <c r="S691" s="12"/>
    </row>
    <row r="692" spans="5:19" x14ac:dyDescent="0.25">
      <c r="E692" s="103"/>
      <c r="K692" s="12"/>
      <c r="L692" s="12"/>
      <c r="M692" s="12"/>
      <c r="N692" s="12"/>
      <c r="O692" s="12"/>
      <c r="P692" s="12"/>
      <c r="Q692" s="12"/>
      <c r="R692" s="12"/>
      <c r="S692" s="12"/>
    </row>
    <row r="693" spans="5:19" x14ac:dyDescent="0.25">
      <c r="E693" s="103"/>
      <c r="K693" s="12"/>
      <c r="L693" s="12"/>
      <c r="M693" s="12"/>
      <c r="N693" s="12"/>
      <c r="O693" s="12"/>
      <c r="P693" s="12"/>
      <c r="Q693" s="12"/>
      <c r="R693" s="12"/>
      <c r="S693" s="12"/>
    </row>
    <row r="694" spans="5:19" x14ac:dyDescent="0.25">
      <c r="E694" s="103"/>
      <c r="K694" s="12"/>
      <c r="L694" s="12"/>
      <c r="M694" s="12"/>
      <c r="N694" s="12"/>
      <c r="O694" s="12"/>
      <c r="P694" s="12"/>
      <c r="Q694" s="12"/>
      <c r="R694" s="12"/>
      <c r="S694" s="12"/>
    </row>
    <row r="695" spans="5:19" x14ac:dyDescent="0.25">
      <c r="E695" s="103"/>
      <c r="K695" s="12"/>
      <c r="L695" s="12"/>
      <c r="M695" s="12"/>
      <c r="N695" s="12"/>
      <c r="O695" s="12"/>
      <c r="P695" s="12"/>
      <c r="Q695" s="12"/>
      <c r="R695" s="12"/>
      <c r="S695" s="12"/>
    </row>
    <row r="696" spans="5:19" x14ac:dyDescent="0.25">
      <c r="E696" s="103"/>
      <c r="K696" s="12"/>
      <c r="L696" s="12"/>
      <c r="M696" s="12"/>
      <c r="N696" s="12"/>
      <c r="O696" s="12"/>
      <c r="P696" s="12"/>
      <c r="Q696" s="12"/>
      <c r="R696" s="12"/>
      <c r="S696" s="12"/>
    </row>
    <row r="697" spans="5:19" x14ac:dyDescent="0.25">
      <c r="E697" s="103"/>
      <c r="K697" s="12"/>
      <c r="L697" s="12"/>
      <c r="M697" s="12"/>
      <c r="N697" s="12"/>
      <c r="O697" s="12"/>
      <c r="P697" s="12"/>
      <c r="Q697" s="12"/>
      <c r="R697" s="12"/>
      <c r="S697" s="12"/>
    </row>
    <row r="698" spans="5:19" x14ac:dyDescent="0.25">
      <c r="E698" s="103"/>
      <c r="K698" s="12"/>
      <c r="L698" s="12"/>
      <c r="M698" s="12"/>
      <c r="N698" s="12"/>
      <c r="O698" s="12"/>
      <c r="P698" s="12"/>
      <c r="Q698" s="12"/>
      <c r="R698" s="12"/>
      <c r="S698" s="12"/>
    </row>
    <row r="699" spans="5:19" x14ac:dyDescent="0.25">
      <c r="E699" s="103"/>
      <c r="K699" s="12"/>
      <c r="L699" s="12"/>
      <c r="M699" s="12"/>
      <c r="N699" s="12"/>
      <c r="O699" s="12"/>
      <c r="P699" s="12"/>
      <c r="Q699" s="12"/>
      <c r="R699" s="12"/>
      <c r="S699" s="12"/>
    </row>
    <row r="700" spans="5:19" x14ac:dyDescent="0.25">
      <c r="E700" s="103"/>
      <c r="K700" s="12"/>
      <c r="L700" s="12"/>
      <c r="M700" s="12"/>
      <c r="N700" s="12"/>
      <c r="O700" s="12"/>
      <c r="P700" s="12"/>
      <c r="Q700" s="12"/>
      <c r="R700" s="12"/>
      <c r="S700" s="12"/>
    </row>
    <row r="701" spans="5:19" x14ac:dyDescent="0.25">
      <c r="E701" s="103"/>
      <c r="K701" s="12"/>
      <c r="L701" s="12"/>
      <c r="M701" s="12"/>
      <c r="N701" s="12"/>
      <c r="O701" s="12"/>
      <c r="P701" s="12"/>
      <c r="Q701" s="12"/>
      <c r="R701" s="12"/>
      <c r="S701" s="12"/>
    </row>
    <row r="702" spans="5:19" x14ac:dyDescent="0.25">
      <c r="E702" s="103"/>
      <c r="K702" s="12"/>
      <c r="L702" s="12"/>
      <c r="M702" s="12"/>
      <c r="N702" s="12"/>
      <c r="O702" s="12"/>
      <c r="P702" s="12"/>
      <c r="Q702" s="12"/>
      <c r="R702" s="12"/>
      <c r="S702" s="12"/>
    </row>
    <row r="703" spans="5:19" x14ac:dyDescent="0.25">
      <c r="E703" s="103"/>
      <c r="K703" s="12"/>
      <c r="L703" s="12"/>
      <c r="M703" s="12"/>
      <c r="N703" s="12"/>
      <c r="O703" s="12"/>
      <c r="P703" s="12"/>
      <c r="Q703" s="12"/>
      <c r="R703" s="12"/>
      <c r="S703" s="12"/>
    </row>
    <row r="704" spans="5:19" x14ac:dyDescent="0.25">
      <c r="E704" s="103"/>
      <c r="K704" s="12"/>
      <c r="L704" s="12"/>
      <c r="M704" s="12"/>
      <c r="N704" s="12"/>
      <c r="O704" s="12"/>
      <c r="P704" s="12"/>
      <c r="Q704" s="12"/>
      <c r="R704" s="12"/>
      <c r="S704" s="12"/>
    </row>
    <row r="705" spans="5:19" x14ac:dyDescent="0.25">
      <c r="E705" s="103"/>
      <c r="K705" s="12"/>
      <c r="L705" s="12"/>
      <c r="M705" s="12"/>
      <c r="N705" s="12"/>
      <c r="O705" s="12"/>
      <c r="P705" s="12"/>
      <c r="Q705" s="12"/>
      <c r="R705" s="12"/>
      <c r="S705" s="12"/>
    </row>
    <row r="706" spans="5:19" x14ac:dyDescent="0.25">
      <c r="E706" s="103"/>
      <c r="K706" s="12"/>
      <c r="L706" s="12"/>
      <c r="M706" s="12"/>
      <c r="N706" s="12"/>
      <c r="O706" s="12"/>
      <c r="P706" s="12"/>
      <c r="Q706" s="12"/>
      <c r="R706" s="12"/>
      <c r="S706" s="12"/>
    </row>
    <row r="707" spans="5:19" x14ac:dyDescent="0.25">
      <c r="E707" s="103"/>
      <c r="K707" s="12"/>
      <c r="L707" s="12"/>
      <c r="M707" s="12"/>
      <c r="N707" s="12"/>
      <c r="O707" s="12"/>
      <c r="P707" s="12"/>
      <c r="Q707" s="12"/>
      <c r="R707" s="12"/>
      <c r="S707" s="12"/>
    </row>
    <row r="708" spans="5:19" x14ac:dyDescent="0.25">
      <c r="E708" s="103"/>
      <c r="K708" s="12"/>
      <c r="L708" s="12"/>
      <c r="M708" s="12"/>
      <c r="N708" s="12"/>
      <c r="O708" s="12"/>
      <c r="P708" s="12"/>
      <c r="Q708" s="12"/>
      <c r="R708" s="12"/>
      <c r="S708" s="12"/>
    </row>
    <row r="709" spans="5:19" x14ac:dyDescent="0.25">
      <c r="E709" s="103"/>
      <c r="K709" s="12"/>
      <c r="L709" s="12"/>
      <c r="M709" s="12"/>
      <c r="N709" s="12"/>
      <c r="O709" s="12"/>
      <c r="P709" s="12"/>
      <c r="Q709" s="12"/>
      <c r="R709" s="12"/>
      <c r="S709" s="12"/>
    </row>
    <row r="710" spans="5:19" x14ac:dyDescent="0.25">
      <c r="E710" s="103"/>
      <c r="K710" s="12"/>
      <c r="L710" s="12"/>
      <c r="M710" s="12"/>
      <c r="N710" s="12"/>
      <c r="O710" s="12"/>
      <c r="P710" s="12"/>
      <c r="Q710" s="12"/>
      <c r="R710" s="12"/>
      <c r="S710" s="12"/>
    </row>
    <row r="711" spans="5:19" x14ac:dyDescent="0.25">
      <c r="E711" s="103"/>
      <c r="K711" s="12"/>
      <c r="L711" s="12"/>
      <c r="M711" s="12"/>
      <c r="N711" s="12"/>
      <c r="O711" s="12"/>
      <c r="P711" s="12"/>
      <c r="Q711" s="12"/>
      <c r="R711" s="12"/>
      <c r="S711" s="12"/>
    </row>
    <row r="712" spans="5:19" x14ac:dyDescent="0.25">
      <c r="E712" s="103"/>
      <c r="K712" s="12"/>
      <c r="L712" s="12"/>
      <c r="M712" s="12"/>
      <c r="N712" s="12"/>
      <c r="O712" s="12"/>
      <c r="P712" s="12"/>
      <c r="Q712" s="12"/>
      <c r="R712" s="12"/>
      <c r="S712" s="12"/>
    </row>
    <row r="713" spans="5:19" x14ac:dyDescent="0.25">
      <c r="E713" s="103"/>
      <c r="K713" s="12"/>
      <c r="L713" s="12"/>
      <c r="M713" s="12"/>
      <c r="N713" s="12"/>
      <c r="O713" s="12"/>
      <c r="P713" s="12"/>
      <c r="Q713" s="12"/>
      <c r="R713" s="12"/>
      <c r="S713" s="12"/>
    </row>
    <row r="714" spans="5:19" x14ac:dyDescent="0.25">
      <c r="E714" s="103"/>
      <c r="K714" s="12"/>
      <c r="L714" s="12"/>
      <c r="M714" s="12"/>
      <c r="N714" s="12"/>
      <c r="O714" s="12"/>
      <c r="P714" s="12"/>
      <c r="Q714" s="12"/>
      <c r="R714" s="12"/>
      <c r="S714" s="12"/>
    </row>
    <row r="715" spans="5:19" x14ac:dyDescent="0.25">
      <c r="E715" s="103"/>
      <c r="K715" s="12"/>
      <c r="L715" s="12"/>
      <c r="M715" s="12"/>
      <c r="N715" s="12"/>
      <c r="O715" s="12"/>
      <c r="P715" s="12"/>
      <c r="Q715" s="12"/>
      <c r="R715" s="12"/>
      <c r="S715" s="12"/>
    </row>
    <row r="716" spans="5:19" x14ac:dyDescent="0.25">
      <c r="E716" s="103"/>
      <c r="K716" s="12"/>
      <c r="L716" s="12"/>
      <c r="M716" s="12"/>
      <c r="N716" s="12"/>
      <c r="O716" s="12"/>
      <c r="P716" s="12"/>
      <c r="Q716" s="12"/>
      <c r="R716" s="12"/>
      <c r="S716" s="12"/>
    </row>
    <row r="717" spans="5:19" x14ac:dyDescent="0.25">
      <c r="E717" s="103"/>
      <c r="K717" s="12"/>
      <c r="L717" s="12"/>
      <c r="M717" s="12"/>
      <c r="N717" s="12"/>
      <c r="O717" s="12"/>
      <c r="P717" s="12"/>
      <c r="Q717" s="12"/>
      <c r="R717" s="12"/>
      <c r="S717" s="12"/>
    </row>
    <row r="718" spans="5:19" x14ac:dyDescent="0.25">
      <c r="E718" s="103"/>
      <c r="K718" s="12"/>
      <c r="L718" s="12"/>
      <c r="M718" s="12"/>
      <c r="N718" s="12"/>
      <c r="O718" s="12"/>
      <c r="P718" s="12"/>
      <c r="Q718" s="12"/>
      <c r="R718" s="12"/>
      <c r="S718" s="12"/>
    </row>
    <row r="719" spans="5:19" x14ac:dyDescent="0.25">
      <c r="E719" s="103"/>
      <c r="K719" s="12"/>
      <c r="L719" s="12"/>
      <c r="M719" s="12"/>
      <c r="N719" s="12"/>
      <c r="O719" s="12"/>
      <c r="P719" s="12"/>
      <c r="Q719" s="12"/>
      <c r="R719" s="12"/>
      <c r="S719" s="12"/>
    </row>
    <row r="720" spans="5:19" x14ac:dyDescent="0.25">
      <c r="E720" s="103"/>
      <c r="K720" s="12"/>
      <c r="L720" s="12"/>
      <c r="M720" s="12"/>
      <c r="N720" s="12"/>
      <c r="O720" s="12"/>
      <c r="P720" s="12"/>
      <c r="Q720" s="12"/>
      <c r="R720" s="12"/>
      <c r="S720" s="12"/>
    </row>
    <row r="721" spans="5:19" x14ac:dyDescent="0.25">
      <c r="E721" s="103"/>
      <c r="K721" s="12"/>
      <c r="L721" s="12"/>
      <c r="M721" s="12"/>
      <c r="N721" s="12"/>
      <c r="O721" s="12"/>
      <c r="P721" s="12"/>
      <c r="Q721" s="12"/>
      <c r="R721" s="12"/>
      <c r="S721" s="12"/>
    </row>
    <row r="722" spans="5:19" x14ac:dyDescent="0.25">
      <c r="E722" s="103"/>
      <c r="K722" s="12"/>
      <c r="L722" s="12"/>
      <c r="M722" s="12"/>
      <c r="N722" s="12"/>
      <c r="O722" s="12"/>
      <c r="P722" s="12"/>
      <c r="Q722" s="12"/>
      <c r="R722" s="12"/>
      <c r="S722" s="12"/>
    </row>
    <row r="723" spans="5:19" x14ac:dyDescent="0.25">
      <c r="E723" s="103"/>
      <c r="K723" s="12"/>
      <c r="L723" s="12"/>
      <c r="M723" s="12"/>
      <c r="N723" s="12"/>
      <c r="O723" s="12"/>
      <c r="P723" s="12"/>
      <c r="Q723" s="12"/>
      <c r="R723" s="12"/>
      <c r="S723" s="12"/>
    </row>
    <row r="724" spans="5:19" x14ac:dyDescent="0.25">
      <c r="E724" s="103"/>
      <c r="K724" s="12"/>
      <c r="L724" s="12"/>
      <c r="M724" s="12"/>
      <c r="N724" s="12"/>
      <c r="O724" s="12"/>
      <c r="P724" s="12"/>
      <c r="Q724" s="12"/>
      <c r="R724" s="12"/>
      <c r="S724" s="12"/>
    </row>
    <row r="725" spans="5:19" x14ac:dyDescent="0.25">
      <c r="E725" s="103"/>
      <c r="K725" s="12"/>
      <c r="L725" s="12"/>
      <c r="M725" s="12"/>
      <c r="N725" s="12"/>
      <c r="O725" s="12"/>
      <c r="P725" s="12"/>
      <c r="Q725" s="12"/>
      <c r="R725" s="12"/>
      <c r="S725" s="12"/>
    </row>
    <row r="726" spans="5:19" x14ac:dyDescent="0.25">
      <c r="E726" s="103"/>
      <c r="K726" s="12"/>
      <c r="L726" s="12"/>
      <c r="M726" s="12"/>
      <c r="N726" s="12"/>
      <c r="O726" s="12"/>
      <c r="P726" s="12"/>
      <c r="Q726" s="12"/>
      <c r="R726" s="12"/>
      <c r="S726" s="12"/>
    </row>
    <row r="727" spans="5:19" x14ac:dyDescent="0.25">
      <c r="E727" s="103"/>
      <c r="K727" s="12"/>
      <c r="L727" s="12"/>
      <c r="M727" s="12"/>
      <c r="N727" s="12"/>
      <c r="O727" s="12"/>
      <c r="P727" s="12"/>
      <c r="Q727" s="12"/>
      <c r="R727" s="12"/>
      <c r="S727" s="12"/>
    </row>
    <row r="728" spans="5:19" x14ac:dyDescent="0.25">
      <c r="E728" s="103"/>
      <c r="K728" s="12"/>
      <c r="L728" s="12"/>
      <c r="M728" s="12"/>
      <c r="N728" s="12"/>
      <c r="O728" s="12"/>
      <c r="P728" s="12"/>
      <c r="Q728" s="12"/>
      <c r="R728" s="12"/>
      <c r="S728" s="12"/>
    </row>
    <row r="729" spans="5:19" x14ac:dyDescent="0.25">
      <c r="E729" s="103"/>
      <c r="K729" s="12"/>
      <c r="L729" s="12"/>
      <c r="M729" s="12"/>
      <c r="N729" s="12"/>
      <c r="O729" s="12"/>
      <c r="P729" s="12"/>
      <c r="Q729" s="12"/>
      <c r="R729" s="12"/>
      <c r="S729" s="12"/>
    </row>
    <row r="730" spans="5:19" x14ac:dyDescent="0.25">
      <c r="E730" s="103"/>
      <c r="K730" s="12"/>
      <c r="L730" s="12"/>
      <c r="M730" s="12"/>
      <c r="N730" s="12"/>
      <c r="O730" s="12"/>
      <c r="P730" s="12"/>
      <c r="Q730" s="12"/>
      <c r="R730" s="12"/>
      <c r="S730" s="12"/>
    </row>
    <row r="731" spans="5:19" x14ac:dyDescent="0.25">
      <c r="E731" s="103"/>
      <c r="K731" s="12"/>
      <c r="L731" s="12"/>
      <c r="M731" s="12"/>
      <c r="N731" s="12"/>
      <c r="O731" s="12"/>
      <c r="P731" s="12"/>
      <c r="Q731" s="12"/>
      <c r="R731" s="12"/>
      <c r="S731" s="12"/>
    </row>
    <row r="732" spans="5:19" x14ac:dyDescent="0.25">
      <c r="E732" s="103"/>
      <c r="K732" s="12"/>
      <c r="L732" s="12"/>
      <c r="M732" s="12"/>
      <c r="N732" s="12"/>
      <c r="O732" s="12"/>
      <c r="P732" s="12"/>
      <c r="Q732" s="12"/>
      <c r="R732" s="12"/>
      <c r="S732" s="12"/>
    </row>
    <row r="733" spans="5:19" x14ac:dyDescent="0.25">
      <c r="E733" s="103"/>
      <c r="K733" s="12"/>
      <c r="L733" s="12"/>
      <c r="M733" s="12"/>
      <c r="N733" s="12"/>
      <c r="O733" s="12"/>
      <c r="P733" s="12"/>
      <c r="Q733" s="12"/>
      <c r="R733" s="12"/>
      <c r="S733" s="12"/>
    </row>
    <row r="734" spans="5:19" x14ac:dyDescent="0.25">
      <c r="E734" s="103"/>
      <c r="K734" s="12"/>
      <c r="L734" s="12"/>
      <c r="M734" s="12"/>
      <c r="N734" s="12"/>
      <c r="O734" s="12"/>
      <c r="P734" s="12"/>
      <c r="Q734" s="12"/>
      <c r="R734" s="12"/>
      <c r="S734" s="12"/>
    </row>
    <row r="735" spans="5:19" x14ac:dyDescent="0.25">
      <c r="E735" s="103"/>
      <c r="K735" s="12"/>
      <c r="L735" s="12"/>
      <c r="M735" s="12"/>
      <c r="N735" s="12"/>
      <c r="O735" s="12"/>
      <c r="P735" s="12"/>
      <c r="Q735" s="12"/>
      <c r="R735" s="12"/>
      <c r="S735" s="12"/>
    </row>
    <row r="736" spans="5:19" x14ac:dyDescent="0.25">
      <c r="E736" s="103"/>
      <c r="K736" s="12"/>
      <c r="L736" s="12"/>
      <c r="M736" s="12"/>
      <c r="N736" s="12"/>
      <c r="O736" s="12"/>
      <c r="P736" s="12"/>
      <c r="Q736" s="12"/>
      <c r="R736" s="12"/>
      <c r="S736" s="12"/>
    </row>
    <row r="737" spans="5:19" x14ac:dyDescent="0.25">
      <c r="E737" s="103"/>
      <c r="K737" s="12"/>
      <c r="L737" s="12"/>
      <c r="M737" s="12"/>
      <c r="N737" s="12"/>
      <c r="O737" s="12"/>
      <c r="P737" s="12"/>
      <c r="Q737" s="12"/>
      <c r="R737" s="12"/>
      <c r="S737" s="12"/>
    </row>
    <row r="738" spans="5:19" x14ac:dyDescent="0.25">
      <c r="E738" s="103"/>
      <c r="K738" s="12"/>
      <c r="L738" s="12"/>
      <c r="M738" s="12"/>
      <c r="N738" s="12"/>
      <c r="O738" s="12"/>
      <c r="P738" s="12"/>
      <c r="Q738" s="12"/>
      <c r="R738" s="12"/>
      <c r="S738" s="12"/>
    </row>
    <row r="739" spans="5:19" x14ac:dyDescent="0.25">
      <c r="E739" s="103"/>
      <c r="K739" s="12"/>
      <c r="L739" s="12"/>
      <c r="M739" s="12"/>
      <c r="N739" s="12"/>
      <c r="O739" s="12"/>
      <c r="P739" s="12"/>
      <c r="Q739" s="12"/>
      <c r="R739" s="12"/>
      <c r="S739" s="12"/>
    </row>
    <row r="740" spans="5:19" x14ac:dyDescent="0.25">
      <c r="E740" s="103"/>
      <c r="K740" s="12"/>
      <c r="L740" s="12"/>
      <c r="M740" s="12"/>
      <c r="N740" s="12"/>
      <c r="O740" s="12"/>
      <c r="P740" s="12"/>
      <c r="Q740" s="12"/>
      <c r="R740" s="12"/>
      <c r="S740" s="12"/>
    </row>
    <row r="741" spans="5:19" x14ac:dyDescent="0.25">
      <c r="E741" s="103"/>
      <c r="K741" s="12"/>
      <c r="L741" s="12"/>
      <c r="M741" s="12"/>
      <c r="N741" s="12"/>
      <c r="O741" s="12"/>
      <c r="P741" s="12"/>
      <c r="Q741" s="12"/>
      <c r="R741" s="12"/>
      <c r="S741" s="12"/>
    </row>
    <row r="742" spans="5:19" x14ac:dyDescent="0.25">
      <c r="E742" s="103"/>
      <c r="K742" s="12"/>
      <c r="L742" s="12"/>
      <c r="M742" s="12"/>
      <c r="N742" s="12"/>
      <c r="O742" s="12"/>
      <c r="P742" s="12"/>
      <c r="Q742" s="12"/>
      <c r="R742" s="12"/>
      <c r="S742" s="12"/>
    </row>
    <row r="743" spans="5:19" x14ac:dyDescent="0.25">
      <c r="E743" s="103"/>
      <c r="K743" s="12"/>
      <c r="L743" s="12"/>
      <c r="M743" s="12"/>
      <c r="N743" s="12"/>
      <c r="O743" s="12"/>
      <c r="P743" s="12"/>
      <c r="Q743" s="12"/>
      <c r="R743" s="12"/>
      <c r="S743" s="12"/>
    </row>
    <row r="744" spans="5:19" x14ac:dyDescent="0.25">
      <c r="E744" s="103"/>
      <c r="K744" s="12"/>
      <c r="L744" s="12"/>
      <c r="M744" s="12"/>
      <c r="N744" s="12"/>
      <c r="O744" s="12"/>
      <c r="P744" s="12"/>
      <c r="Q744" s="12"/>
      <c r="R744" s="12"/>
      <c r="S744" s="12"/>
    </row>
    <row r="745" spans="5:19" x14ac:dyDescent="0.25">
      <c r="E745" s="103"/>
      <c r="K745" s="12"/>
      <c r="L745" s="12"/>
      <c r="M745" s="12"/>
      <c r="N745" s="12"/>
      <c r="O745" s="12"/>
      <c r="P745" s="12"/>
      <c r="Q745" s="12"/>
      <c r="R745" s="12"/>
      <c r="S745" s="12"/>
    </row>
    <row r="746" spans="5:19" x14ac:dyDescent="0.25">
      <c r="E746" s="103"/>
      <c r="K746" s="12"/>
      <c r="L746" s="12"/>
      <c r="M746" s="12"/>
      <c r="N746" s="12"/>
      <c r="O746" s="12"/>
      <c r="P746" s="12"/>
      <c r="Q746" s="12"/>
      <c r="R746" s="12"/>
      <c r="S746" s="12"/>
    </row>
    <row r="747" spans="5:19" x14ac:dyDescent="0.25">
      <c r="E747" s="103"/>
      <c r="K747" s="12"/>
      <c r="L747" s="12"/>
      <c r="M747" s="12"/>
      <c r="N747" s="12"/>
      <c r="O747" s="12"/>
      <c r="P747" s="12"/>
      <c r="Q747" s="12"/>
      <c r="R747" s="12"/>
      <c r="S747" s="12"/>
    </row>
    <row r="748" spans="5:19" x14ac:dyDescent="0.25">
      <c r="E748" s="103"/>
      <c r="K748" s="12"/>
      <c r="L748" s="12"/>
      <c r="M748" s="12"/>
      <c r="N748" s="12"/>
      <c r="O748" s="12"/>
      <c r="P748" s="12"/>
      <c r="Q748" s="12"/>
      <c r="R748" s="12"/>
      <c r="S748" s="12"/>
    </row>
    <row r="749" spans="5:19" x14ac:dyDescent="0.25">
      <c r="E749" s="103"/>
      <c r="K749" s="12"/>
      <c r="L749" s="12"/>
      <c r="M749" s="12"/>
      <c r="N749" s="12"/>
      <c r="O749" s="12"/>
      <c r="P749" s="12"/>
      <c r="Q749" s="12"/>
      <c r="R749" s="12"/>
      <c r="S749" s="12"/>
    </row>
    <row r="750" spans="5:19" x14ac:dyDescent="0.25">
      <c r="E750" s="103"/>
      <c r="K750" s="12"/>
      <c r="L750" s="12"/>
      <c r="M750" s="12"/>
      <c r="N750" s="12"/>
      <c r="O750" s="12"/>
      <c r="P750" s="12"/>
      <c r="Q750" s="12"/>
      <c r="R750" s="12"/>
      <c r="S750" s="12"/>
    </row>
    <row r="751" spans="5:19" x14ac:dyDescent="0.25">
      <c r="E751" s="103"/>
      <c r="K751" s="12"/>
      <c r="L751" s="12"/>
      <c r="M751" s="12"/>
      <c r="N751" s="12"/>
      <c r="O751" s="12"/>
      <c r="P751" s="12"/>
      <c r="Q751" s="12"/>
      <c r="R751" s="12"/>
      <c r="S751" s="12"/>
    </row>
    <row r="752" spans="5:19" x14ac:dyDescent="0.25">
      <c r="E752" s="103"/>
      <c r="K752" s="12"/>
      <c r="L752" s="12"/>
      <c r="M752" s="12"/>
      <c r="N752" s="12"/>
      <c r="O752" s="12"/>
      <c r="P752" s="12"/>
      <c r="Q752" s="12"/>
      <c r="R752" s="12"/>
      <c r="S752" s="12"/>
    </row>
    <row r="753" spans="5:19" x14ac:dyDescent="0.25">
      <c r="E753" s="103"/>
      <c r="K753" s="12"/>
      <c r="L753" s="12"/>
      <c r="M753" s="12"/>
      <c r="N753" s="12"/>
      <c r="O753" s="12"/>
      <c r="P753" s="12"/>
      <c r="Q753" s="12"/>
      <c r="R753" s="12"/>
      <c r="S753" s="12"/>
    </row>
    <row r="754" spans="5:19" x14ac:dyDescent="0.25">
      <c r="E754" s="103"/>
      <c r="K754" s="12"/>
      <c r="L754" s="12"/>
      <c r="M754" s="12"/>
      <c r="N754" s="12"/>
      <c r="O754" s="12"/>
      <c r="P754" s="12"/>
      <c r="Q754" s="12"/>
      <c r="R754" s="12"/>
      <c r="S754" s="12"/>
    </row>
    <row r="755" spans="5:19" x14ac:dyDescent="0.25">
      <c r="E755" s="103"/>
      <c r="K755" s="12"/>
      <c r="L755" s="12"/>
      <c r="M755" s="12"/>
      <c r="N755" s="12"/>
      <c r="O755" s="12"/>
      <c r="P755" s="12"/>
      <c r="Q755" s="12"/>
      <c r="R755" s="12"/>
      <c r="S755" s="12"/>
    </row>
    <row r="756" spans="5:19" x14ac:dyDescent="0.25">
      <c r="E756" s="103"/>
      <c r="K756" s="12"/>
      <c r="L756" s="12"/>
      <c r="M756" s="12"/>
      <c r="N756" s="12"/>
      <c r="O756" s="12"/>
      <c r="P756" s="12"/>
      <c r="Q756" s="12"/>
      <c r="R756" s="12"/>
      <c r="S756" s="12"/>
    </row>
    <row r="757" spans="5:19" x14ac:dyDescent="0.25">
      <c r="E757" s="103"/>
      <c r="K757" s="12"/>
      <c r="L757" s="12"/>
      <c r="M757" s="12"/>
      <c r="N757" s="12"/>
      <c r="O757" s="12"/>
      <c r="P757" s="12"/>
      <c r="Q757" s="12"/>
      <c r="R757" s="12"/>
      <c r="S757" s="12"/>
    </row>
    <row r="758" spans="5:19" x14ac:dyDescent="0.25">
      <c r="E758" s="103"/>
      <c r="K758" s="12"/>
      <c r="L758" s="12"/>
      <c r="M758" s="12"/>
      <c r="N758" s="12"/>
      <c r="O758" s="12"/>
      <c r="P758" s="12"/>
      <c r="Q758" s="12"/>
      <c r="R758" s="12"/>
      <c r="S758" s="12"/>
    </row>
    <row r="759" spans="5:19" x14ac:dyDescent="0.25">
      <c r="E759" s="103"/>
      <c r="K759" s="12"/>
      <c r="L759" s="12"/>
      <c r="M759" s="12"/>
      <c r="N759" s="12"/>
      <c r="O759" s="12"/>
      <c r="P759" s="12"/>
      <c r="Q759" s="12"/>
      <c r="R759" s="12"/>
      <c r="S759" s="12"/>
    </row>
    <row r="760" spans="5:19" x14ac:dyDescent="0.25">
      <c r="E760" s="103"/>
      <c r="K760" s="12"/>
      <c r="L760" s="12"/>
      <c r="M760" s="12"/>
      <c r="N760" s="12"/>
      <c r="O760" s="12"/>
      <c r="P760" s="12"/>
      <c r="Q760" s="12"/>
      <c r="R760" s="12"/>
      <c r="S760" s="12"/>
    </row>
    <row r="761" spans="5:19" x14ac:dyDescent="0.25">
      <c r="E761" s="103"/>
      <c r="K761" s="12"/>
      <c r="L761" s="12"/>
      <c r="M761" s="12"/>
      <c r="N761" s="12"/>
      <c r="O761" s="12"/>
      <c r="P761" s="12"/>
      <c r="Q761" s="12"/>
      <c r="R761" s="12"/>
      <c r="S761" s="12"/>
    </row>
    <row r="762" spans="5:19" x14ac:dyDescent="0.25">
      <c r="E762" s="103"/>
      <c r="K762" s="12"/>
      <c r="L762" s="12"/>
      <c r="M762" s="12"/>
      <c r="N762" s="12"/>
      <c r="O762" s="12"/>
      <c r="P762" s="12"/>
      <c r="Q762" s="12"/>
      <c r="R762" s="12"/>
      <c r="S762" s="12"/>
    </row>
    <row r="763" spans="5:19" x14ac:dyDescent="0.25">
      <c r="E763" s="103"/>
      <c r="K763" s="12"/>
      <c r="L763" s="12"/>
      <c r="M763" s="12"/>
      <c r="N763" s="12"/>
      <c r="O763" s="12"/>
      <c r="P763" s="12"/>
      <c r="Q763" s="12"/>
      <c r="R763" s="12"/>
      <c r="S763" s="12"/>
    </row>
    <row r="764" spans="5:19" x14ac:dyDescent="0.25">
      <c r="E764" s="103"/>
      <c r="K764" s="12"/>
      <c r="L764" s="12"/>
      <c r="M764" s="12"/>
      <c r="N764" s="12"/>
      <c r="O764" s="12"/>
      <c r="P764" s="12"/>
      <c r="Q764" s="12"/>
      <c r="R764" s="12"/>
      <c r="S764" s="12"/>
    </row>
    <row r="765" spans="5:19" x14ac:dyDescent="0.25">
      <c r="E765" s="103"/>
      <c r="K765" s="12"/>
      <c r="L765" s="12"/>
      <c r="M765" s="12"/>
      <c r="N765" s="12"/>
      <c r="O765" s="12"/>
      <c r="P765" s="12"/>
      <c r="Q765" s="12"/>
      <c r="R765" s="12"/>
      <c r="S765" s="12"/>
    </row>
    <row r="766" spans="5:19" x14ac:dyDescent="0.25">
      <c r="E766" s="103"/>
      <c r="K766" s="12"/>
      <c r="L766" s="12"/>
      <c r="M766" s="12"/>
      <c r="N766" s="12"/>
      <c r="O766" s="12"/>
      <c r="P766" s="12"/>
      <c r="Q766" s="12"/>
      <c r="R766" s="12"/>
      <c r="S766" s="12"/>
    </row>
    <row r="767" spans="5:19" x14ac:dyDescent="0.25">
      <c r="E767" s="103"/>
      <c r="K767" s="12"/>
      <c r="L767" s="12"/>
      <c r="M767" s="12"/>
      <c r="N767" s="12"/>
      <c r="O767" s="12"/>
      <c r="P767" s="12"/>
      <c r="Q767" s="12"/>
      <c r="R767" s="12"/>
      <c r="S767" s="12"/>
    </row>
    <row r="768" spans="5:19" x14ac:dyDescent="0.25">
      <c r="E768" s="103"/>
      <c r="K768" s="12"/>
      <c r="L768" s="12"/>
      <c r="M768" s="12"/>
      <c r="N768" s="12"/>
      <c r="O768" s="12"/>
      <c r="P768" s="12"/>
      <c r="Q768" s="12"/>
      <c r="R768" s="12"/>
      <c r="S768" s="12"/>
    </row>
    <row r="769" spans="5:19" x14ac:dyDescent="0.25">
      <c r="E769" s="103"/>
      <c r="K769" s="12"/>
      <c r="L769" s="12"/>
      <c r="M769" s="12"/>
      <c r="N769" s="12"/>
      <c r="O769" s="12"/>
      <c r="P769" s="12"/>
      <c r="Q769" s="12"/>
      <c r="R769" s="12"/>
      <c r="S769" s="12"/>
    </row>
    <row r="770" spans="5:19" x14ac:dyDescent="0.25">
      <c r="E770" s="103"/>
      <c r="K770" s="12"/>
      <c r="L770" s="12"/>
      <c r="M770" s="12"/>
      <c r="N770" s="12"/>
      <c r="O770" s="12"/>
      <c r="P770" s="12"/>
      <c r="Q770" s="12"/>
      <c r="R770" s="12"/>
      <c r="S770" s="12"/>
    </row>
    <row r="771" spans="5:19" x14ac:dyDescent="0.25">
      <c r="E771" s="103"/>
      <c r="K771" s="12"/>
      <c r="L771" s="12"/>
      <c r="M771" s="12"/>
      <c r="N771" s="12"/>
      <c r="O771" s="12"/>
      <c r="P771" s="12"/>
      <c r="Q771" s="12"/>
      <c r="R771" s="12"/>
      <c r="S771" s="12"/>
    </row>
    <row r="772" spans="5:19" x14ac:dyDescent="0.25">
      <c r="E772" s="103"/>
      <c r="K772" s="12"/>
      <c r="L772" s="12"/>
      <c r="M772" s="12"/>
      <c r="N772" s="12"/>
      <c r="O772" s="12"/>
      <c r="P772" s="12"/>
      <c r="Q772" s="12"/>
      <c r="R772" s="12"/>
      <c r="S772" s="12"/>
    </row>
    <row r="773" spans="5:19" x14ac:dyDescent="0.25">
      <c r="E773" s="103"/>
      <c r="K773" s="12"/>
      <c r="L773" s="12"/>
      <c r="M773" s="12"/>
      <c r="N773" s="12"/>
      <c r="O773" s="12"/>
      <c r="P773" s="12"/>
      <c r="Q773" s="12"/>
      <c r="R773" s="12"/>
      <c r="S773" s="12"/>
    </row>
    <row r="774" spans="5:19" x14ac:dyDescent="0.25">
      <c r="E774" s="103"/>
      <c r="K774" s="12"/>
      <c r="L774" s="12"/>
      <c r="M774" s="12"/>
      <c r="N774" s="12"/>
      <c r="O774" s="12"/>
      <c r="P774" s="12"/>
      <c r="Q774" s="12"/>
      <c r="R774" s="12"/>
      <c r="S774" s="12"/>
    </row>
    <row r="775" spans="5:19" x14ac:dyDescent="0.25">
      <c r="E775" s="103"/>
      <c r="K775" s="12"/>
      <c r="L775" s="12"/>
      <c r="M775" s="12"/>
      <c r="N775" s="12"/>
      <c r="O775" s="12"/>
      <c r="P775" s="12"/>
      <c r="Q775" s="12"/>
      <c r="R775" s="12"/>
      <c r="S775" s="12"/>
    </row>
    <row r="776" spans="5:19" x14ac:dyDescent="0.25">
      <c r="E776" s="103"/>
      <c r="K776" s="12"/>
      <c r="L776" s="12"/>
      <c r="M776" s="12"/>
      <c r="N776" s="12"/>
      <c r="O776" s="12"/>
      <c r="P776" s="12"/>
      <c r="Q776" s="12"/>
      <c r="R776" s="12"/>
      <c r="S776" s="12"/>
    </row>
    <row r="777" spans="5:19" x14ac:dyDescent="0.25">
      <c r="E777" s="103"/>
      <c r="K777" s="12"/>
      <c r="L777" s="12"/>
      <c r="M777" s="12"/>
      <c r="N777" s="12"/>
      <c r="O777" s="12"/>
      <c r="P777" s="12"/>
      <c r="Q777" s="12"/>
      <c r="R777" s="12"/>
      <c r="S777" s="12"/>
    </row>
    <row r="778" spans="5:19" x14ac:dyDescent="0.25">
      <c r="E778" s="103"/>
      <c r="K778" s="12"/>
      <c r="L778" s="12"/>
      <c r="M778" s="12"/>
      <c r="N778" s="12"/>
      <c r="O778" s="12"/>
      <c r="P778" s="12"/>
      <c r="Q778" s="12"/>
      <c r="R778" s="12"/>
      <c r="S778" s="12"/>
    </row>
    <row r="779" spans="5:19" x14ac:dyDescent="0.25">
      <c r="E779" s="103"/>
      <c r="K779" s="12"/>
      <c r="L779" s="12"/>
      <c r="M779" s="12"/>
      <c r="N779" s="12"/>
      <c r="O779" s="12"/>
      <c r="P779" s="12"/>
      <c r="Q779" s="12"/>
      <c r="R779" s="12"/>
      <c r="S779" s="12"/>
    </row>
    <row r="780" spans="5:19" x14ac:dyDescent="0.25">
      <c r="E780" s="103"/>
      <c r="K780" s="12"/>
      <c r="L780" s="12"/>
      <c r="M780" s="12"/>
      <c r="N780" s="12"/>
      <c r="O780" s="12"/>
      <c r="P780" s="12"/>
      <c r="Q780" s="12"/>
      <c r="R780" s="12"/>
      <c r="S780" s="12"/>
    </row>
    <row r="781" spans="5:19" x14ac:dyDescent="0.25">
      <c r="E781" s="103"/>
      <c r="K781" s="12"/>
      <c r="L781" s="12"/>
      <c r="M781" s="12"/>
      <c r="N781" s="12"/>
      <c r="O781" s="12"/>
      <c r="P781" s="12"/>
      <c r="Q781" s="12"/>
      <c r="R781" s="12"/>
      <c r="S781" s="12"/>
    </row>
    <row r="782" spans="5:19" x14ac:dyDescent="0.25">
      <c r="E782" s="103"/>
      <c r="K782" s="12"/>
      <c r="L782" s="12"/>
      <c r="M782" s="12"/>
      <c r="N782" s="12"/>
      <c r="O782" s="12"/>
      <c r="P782" s="12"/>
      <c r="Q782" s="12"/>
      <c r="R782" s="12"/>
      <c r="S782" s="12"/>
    </row>
    <row r="783" spans="5:19" x14ac:dyDescent="0.25">
      <c r="E783" s="103"/>
      <c r="K783" s="12"/>
      <c r="L783" s="12"/>
      <c r="M783" s="12"/>
      <c r="N783" s="12"/>
      <c r="O783" s="12"/>
      <c r="P783" s="12"/>
      <c r="Q783" s="12"/>
      <c r="R783" s="12"/>
      <c r="S783" s="12"/>
    </row>
    <row r="784" spans="5:19" x14ac:dyDescent="0.25">
      <c r="E784" s="103"/>
      <c r="K784" s="12"/>
      <c r="L784" s="12"/>
      <c r="M784" s="12"/>
      <c r="N784" s="12"/>
      <c r="O784" s="12"/>
      <c r="P784" s="12"/>
      <c r="Q784" s="12"/>
      <c r="R784" s="12"/>
      <c r="S784" s="12"/>
    </row>
    <row r="785" spans="5:19" x14ac:dyDescent="0.25">
      <c r="E785" s="103"/>
      <c r="K785" s="12"/>
      <c r="L785" s="12"/>
      <c r="M785" s="12"/>
      <c r="N785" s="12"/>
      <c r="O785" s="12"/>
      <c r="P785" s="12"/>
      <c r="Q785" s="12"/>
      <c r="R785" s="12"/>
      <c r="S785" s="12"/>
    </row>
    <row r="786" spans="5:19" x14ac:dyDescent="0.25">
      <c r="E786" s="103"/>
      <c r="K786" s="12"/>
      <c r="L786" s="12"/>
      <c r="M786" s="12"/>
      <c r="N786" s="12"/>
      <c r="O786" s="12"/>
      <c r="P786" s="12"/>
      <c r="Q786" s="12"/>
      <c r="R786" s="12"/>
      <c r="S786" s="12"/>
    </row>
    <row r="787" spans="5:19" x14ac:dyDescent="0.25">
      <c r="E787" s="103"/>
      <c r="K787" s="12"/>
      <c r="L787" s="12"/>
      <c r="M787" s="12"/>
      <c r="N787" s="12"/>
      <c r="O787" s="12"/>
      <c r="P787" s="12"/>
      <c r="Q787" s="12"/>
      <c r="R787" s="12"/>
      <c r="S787" s="12"/>
    </row>
    <row r="788" spans="5:19" x14ac:dyDescent="0.25">
      <c r="E788" s="103"/>
      <c r="K788" s="12"/>
      <c r="L788" s="12"/>
      <c r="M788" s="12"/>
      <c r="N788" s="12"/>
      <c r="O788" s="12"/>
      <c r="P788" s="12"/>
      <c r="Q788" s="12"/>
      <c r="R788" s="12"/>
      <c r="S788" s="12"/>
    </row>
    <row r="789" spans="5:19" x14ac:dyDescent="0.25">
      <c r="E789" s="103"/>
      <c r="K789" s="12"/>
      <c r="L789" s="12"/>
      <c r="M789" s="12"/>
      <c r="N789" s="12"/>
      <c r="O789" s="12"/>
      <c r="P789" s="12"/>
      <c r="Q789" s="12"/>
      <c r="R789" s="12"/>
      <c r="S789" s="12"/>
    </row>
    <row r="790" spans="5:19" x14ac:dyDescent="0.25">
      <c r="E790" s="103"/>
      <c r="K790" s="12"/>
      <c r="L790" s="12"/>
      <c r="M790" s="12"/>
      <c r="N790" s="12"/>
      <c r="O790" s="12"/>
      <c r="P790" s="12"/>
      <c r="Q790" s="12"/>
      <c r="R790" s="12"/>
      <c r="S790" s="12"/>
    </row>
    <row r="791" spans="5:19" x14ac:dyDescent="0.25">
      <c r="E791" s="103"/>
      <c r="K791" s="12"/>
      <c r="L791" s="12"/>
      <c r="M791" s="12"/>
      <c r="N791" s="12"/>
      <c r="O791" s="12"/>
      <c r="P791" s="12"/>
      <c r="Q791" s="12"/>
      <c r="R791" s="12"/>
      <c r="S791" s="12"/>
    </row>
    <row r="792" spans="5:19" x14ac:dyDescent="0.25">
      <c r="E792" s="103"/>
      <c r="K792" s="12"/>
      <c r="L792" s="12"/>
      <c r="M792" s="12"/>
      <c r="N792" s="12"/>
      <c r="O792" s="12"/>
      <c r="P792" s="12"/>
      <c r="Q792" s="12"/>
      <c r="R792" s="12"/>
      <c r="S792" s="12"/>
    </row>
    <row r="793" spans="5:19" x14ac:dyDescent="0.25">
      <c r="E793" s="103"/>
      <c r="K793" s="12"/>
      <c r="L793" s="12"/>
      <c r="M793" s="12"/>
      <c r="N793" s="12"/>
      <c r="O793" s="12"/>
      <c r="P793" s="12"/>
      <c r="Q793" s="12"/>
      <c r="R793" s="12"/>
      <c r="S793" s="12"/>
    </row>
    <row r="794" spans="5:19" x14ac:dyDescent="0.25">
      <c r="E794" s="103"/>
      <c r="K794" s="12"/>
      <c r="L794" s="12"/>
      <c r="M794" s="12"/>
      <c r="N794" s="12"/>
      <c r="O794" s="12"/>
      <c r="P794" s="12"/>
      <c r="Q794" s="12"/>
      <c r="R794" s="12"/>
      <c r="S794" s="12"/>
    </row>
    <row r="795" spans="5:19" x14ac:dyDescent="0.25">
      <c r="E795" s="103"/>
      <c r="K795" s="12"/>
      <c r="L795" s="12"/>
      <c r="M795" s="12"/>
      <c r="N795" s="12"/>
      <c r="O795" s="12"/>
      <c r="P795" s="12"/>
      <c r="Q795" s="12"/>
      <c r="R795" s="12"/>
      <c r="S795" s="12"/>
    </row>
    <row r="796" spans="5:19" x14ac:dyDescent="0.25">
      <c r="E796" s="103"/>
      <c r="K796" s="12"/>
      <c r="L796" s="12"/>
      <c r="M796" s="12"/>
      <c r="N796" s="12"/>
      <c r="O796" s="12"/>
      <c r="P796" s="12"/>
      <c r="Q796" s="12"/>
      <c r="R796" s="12"/>
      <c r="S796" s="12"/>
    </row>
    <row r="797" spans="5:19" x14ac:dyDescent="0.25">
      <c r="E797" s="103"/>
      <c r="K797" s="12"/>
      <c r="L797" s="12"/>
      <c r="M797" s="12"/>
      <c r="N797" s="12"/>
      <c r="O797" s="12"/>
      <c r="P797" s="12"/>
      <c r="Q797" s="12"/>
      <c r="R797" s="12"/>
      <c r="S797" s="12"/>
    </row>
    <row r="798" spans="5:19" x14ac:dyDescent="0.25">
      <c r="E798" s="103"/>
      <c r="K798" s="12"/>
      <c r="L798" s="12"/>
      <c r="M798" s="12"/>
      <c r="N798" s="12"/>
      <c r="O798" s="12"/>
      <c r="P798" s="12"/>
      <c r="Q798" s="12"/>
      <c r="R798" s="12"/>
      <c r="S798" s="12"/>
    </row>
    <row r="799" spans="5:19" x14ac:dyDescent="0.25">
      <c r="E799" s="103"/>
      <c r="K799" s="12"/>
      <c r="L799" s="12"/>
      <c r="M799" s="12"/>
      <c r="N799" s="12"/>
      <c r="O799" s="12"/>
      <c r="P799" s="12"/>
      <c r="Q799" s="12"/>
      <c r="R799" s="12"/>
      <c r="S799" s="12"/>
    </row>
    <row r="800" spans="5:19" x14ac:dyDescent="0.25">
      <c r="E800" s="103"/>
      <c r="K800" s="12"/>
      <c r="L800" s="12"/>
      <c r="M800" s="12"/>
      <c r="N800" s="12"/>
      <c r="O800" s="12"/>
      <c r="P800" s="12"/>
      <c r="Q800" s="12"/>
      <c r="R800" s="12"/>
      <c r="S800" s="12"/>
    </row>
    <row r="801" spans="5:19" x14ac:dyDescent="0.25">
      <c r="E801" s="103"/>
      <c r="K801" s="12"/>
      <c r="L801" s="12"/>
      <c r="M801" s="12"/>
      <c r="N801" s="12"/>
      <c r="O801" s="12"/>
      <c r="P801" s="12"/>
      <c r="Q801" s="12"/>
      <c r="R801" s="12"/>
      <c r="S801" s="12"/>
    </row>
    <row r="802" spans="5:19" x14ac:dyDescent="0.25">
      <c r="E802" s="103"/>
      <c r="K802" s="12"/>
      <c r="L802" s="12"/>
      <c r="M802" s="12"/>
      <c r="N802" s="12"/>
      <c r="O802" s="12"/>
      <c r="P802" s="12"/>
      <c r="Q802" s="12"/>
      <c r="R802" s="12"/>
      <c r="S802" s="12"/>
    </row>
    <row r="803" spans="5:19" x14ac:dyDescent="0.25">
      <c r="E803" s="103"/>
      <c r="K803" s="12"/>
      <c r="L803" s="12"/>
      <c r="M803" s="12"/>
      <c r="N803" s="12"/>
      <c r="O803" s="12"/>
      <c r="P803" s="12"/>
      <c r="Q803" s="12"/>
      <c r="R803" s="12"/>
      <c r="S803" s="12"/>
    </row>
    <row r="804" spans="5:19" x14ac:dyDescent="0.25">
      <c r="E804" s="103"/>
      <c r="K804" s="12"/>
      <c r="L804" s="12"/>
      <c r="M804" s="12"/>
      <c r="N804" s="12"/>
      <c r="O804" s="12"/>
      <c r="P804" s="12"/>
      <c r="Q804" s="12"/>
      <c r="R804" s="12"/>
      <c r="S804" s="12"/>
    </row>
    <row r="805" spans="5:19" x14ac:dyDescent="0.25">
      <c r="E805" s="103"/>
      <c r="K805" s="12"/>
      <c r="L805" s="12"/>
      <c r="M805" s="12"/>
      <c r="N805" s="12"/>
      <c r="O805" s="12"/>
      <c r="P805" s="12"/>
      <c r="Q805" s="12"/>
      <c r="R805" s="12"/>
      <c r="S805" s="12"/>
    </row>
    <row r="806" spans="5:19" x14ac:dyDescent="0.25">
      <c r="E806" s="103"/>
      <c r="K806" s="12"/>
      <c r="L806" s="12"/>
      <c r="M806" s="12"/>
      <c r="N806" s="12"/>
      <c r="O806" s="12"/>
      <c r="P806" s="12"/>
      <c r="Q806" s="12"/>
      <c r="R806" s="12"/>
      <c r="S806" s="12"/>
    </row>
    <row r="807" spans="5:19" x14ac:dyDescent="0.25">
      <c r="E807" s="103"/>
      <c r="K807" s="12"/>
      <c r="L807" s="12"/>
      <c r="M807" s="12"/>
      <c r="N807" s="12"/>
      <c r="O807" s="12"/>
      <c r="P807" s="12"/>
      <c r="Q807" s="12"/>
      <c r="R807" s="12"/>
      <c r="S807" s="12"/>
    </row>
    <row r="808" spans="5:19" x14ac:dyDescent="0.25">
      <c r="E808" s="103"/>
      <c r="K808" s="12"/>
      <c r="L808" s="12"/>
      <c r="M808" s="12"/>
      <c r="N808" s="12"/>
      <c r="O808" s="12"/>
      <c r="P808" s="12"/>
      <c r="Q808" s="12"/>
      <c r="R808" s="12"/>
      <c r="S808" s="12"/>
    </row>
    <row r="809" spans="5:19" x14ac:dyDescent="0.25">
      <c r="E809" s="103"/>
      <c r="K809" s="12"/>
      <c r="L809" s="12"/>
      <c r="M809" s="12"/>
      <c r="N809" s="12"/>
      <c r="O809" s="12"/>
      <c r="P809" s="12"/>
      <c r="Q809" s="12"/>
      <c r="R809" s="12"/>
      <c r="S809" s="12"/>
    </row>
    <row r="810" spans="5:19" x14ac:dyDescent="0.25">
      <c r="E810" s="103"/>
      <c r="K810" s="12"/>
      <c r="L810" s="12"/>
      <c r="M810" s="12"/>
      <c r="N810" s="12"/>
      <c r="O810" s="12"/>
      <c r="P810" s="12"/>
      <c r="Q810" s="12"/>
      <c r="R810" s="12"/>
      <c r="S810" s="12"/>
    </row>
    <row r="811" spans="5:19" x14ac:dyDescent="0.25">
      <c r="E811" s="103"/>
      <c r="K811" s="12"/>
      <c r="L811" s="12"/>
      <c r="M811" s="12"/>
      <c r="N811" s="12"/>
      <c r="O811" s="12"/>
      <c r="P811" s="12"/>
      <c r="Q811" s="12"/>
      <c r="R811" s="12"/>
      <c r="S811" s="12"/>
    </row>
    <row r="812" spans="5:19" x14ac:dyDescent="0.25">
      <c r="E812" s="103"/>
      <c r="K812" s="12"/>
      <c r="L812" s="12"/>
      <c r="M812" s="12"/>
      <c r="N812" s="12"/>
      <c r="O812" s="12"/>
      <c r="P812" s="12"/>
      <c r="Q812" s="12"/>
      <c r="R812" s="12"/>
      <c r="S812" s="12"/>
    </row>
    <row r="813" spans="5:19" x14ac:dyDescent="0.25">
      <c r="E813" s="103"/>
      <c r="K813" s="12"/>
      <c r="L813" s="12"/>
      <c r="M813" s="12"/>
      <c r="N813" s="12"/>
      <c r="O813" s="12"/>
      <c r="P813" s="12"/>
      <c r="Q813" s="12"/>
      <c r="R813" s="12"/>
      <c r="S813" s="12"/>
    </row>
    <row r="814" spans="5:19" x14ac:dyDescent="0.25">
      <c r="E814" s="103"/>
      <c r="K814" s="12"/>
      <c r="L814" s="12"/>
      <c r="M814" s="12"/>
      <c r="N814" s="12"/>
      <c r="O814" s="12"/>
      <c r="P814" s="12"/>
      <c r="Q814" s="12"/>
      <c r="R814" s="12"/>
      <c r="S814" s="12"/>
    </row>
    <row r="815" spans="5:19" x14ac:dyDescent="0.25">
      <c r="E815" s="103"/>
      <c r="K815" s="12"/>
      <c r="L815" s="12"/>
      <c r="M815" s="12"/>
      <c r="N815" s="12"/>
      <c r="O815" s="12"/>
      <c r="P815" s="12"/>
      <c r="Q815" s="12"/>
      <c r="R815" s="12"/>
      <c r="S815" s="12"/>
    </row>
    <row r="816" spans="5:19" x14ac:dyDescent="0.25">
      <c r="E816" s="103"/>
      <c r="K816" s="12"/>
      <c r="L816" s="12"/>
      <c r="M816" s="12"/>
      <c r="N816" s="12"/>
      <c r="O816" s="12"/>
      <c r="P816" s="12"/>
      <c r="Q816" s="12"/>
      <c r="R816" s="12"/>
      <c r="S816" s="12"/>
    </row>
    <row r="817" spans="5:19" x14ac:dyDescent="0.25">
      <c r="E817" s="103"/>
      <c r="K817" s="12"/>
      <c r="L817" s="12"/>
      <c r="M817" s="12"/>
      <c r="N817" s="12"/>
      <c r="O817" s="12"/>
      <c r="P817" s="12"/>
      <c r="Q817" s="12"/>
      <c r="R817" s="12"/>
      <c r="S817" s="12"/>
    </row>
    <row r="818" spans="5:19" x14ac:dyDescent="0.25">
      <c r="E818" s="103"/>
      <c r="K818" s="12"/>
      <c r="L818" s="12"/>
      <c r="M818" s="12"/>
      <c r="N818" s="12"/>
      <c r="O818" s="12"/>
      <c r="P818" s="12"/>
      <c r="Q818" s="12"/>
      <c r="R818" s="12"/>
      <c r="S818" s="12"/>
    </row>
    <row r="819" spans="5:19" x14ac:dyDescent="0.25">
      <c r="E819" s="103"/>
      <c r="K819" s="12"/>
      <c r="L819" s="12"/>
      <c r="M819" s="12"/>
      <c r="N819" s="12"/>
      <c r="O819" s="12"/>
      <c r="P819" s="12"/>
      <c r="Q819" s="12"/>
      <c r="R819" s="12"/>
      <c r="S819" s="12"/>
    </row>
    <row r="820" spans="5:19" x14ac:dyDescent="0.25">
      <c r="E820" s="103"/>
      <c r="K820" s="12"/>
      <c r="L820" s="12"/>
      <c r="M820" s="12"/>
      <c r="N820" s="12"/>
      <c r="O820" s="12"/>
      <c r="P820" s="12"/>
      <c r="Q820" s="12"/>
      <c r="R820" s="12"/>
      <c r="S820" s="12"/>
    </row>
    <row r="821" spans="5:19" x14ac:dyDescent="0.25">
      <c r="E821" s="103"/>
      <c r="K821" s="12"/>
      <c r="L821" s="12"/>
      <c r="M821" s="12"/>
      <c r="N821" s="12"/>
      <c r="O821" s="12"/>
      <c r="P821" s="12"/>
      <c r="Q821" s="12"/>
      <c r="R821" s="12"/>
      <c r="S821" s="12"/>
    </row>
    <row r="822" spans="5:19" x14ac:dyDescent="0.25">
      <c r="E822" s="103"/>
      <c r="K822" s="12"/>
      <c r="L822" s="12"/>
      <c r="M822" s="12"/>
      <c r="N822" s="12"/>
      <c r="O822" s="12"/>
      <c r="P822" s="12"/>
      <c r="Q822" s="12"/>
      <c r="R822" s="12"/>
      <c r="S822" s="12"/>
    </row>
    <row r="823" spans="5:19" x14ac:dyDescent="0.25">
      <c r="E823" s="103"/>
      <c r="K823" s="12"/>
      <c r="L823" s="12"/>
      <c r="M823" s="12"/>
      <c r="N823" s="12"/>
      <c r="O823" s="12"/>
      <c r="P823" s="12"/>
      <c r="Q823" s="12"/>
      <c r="R823" s="12"/>
      <c r="S823" s="12"/>
    </row>
    <row r="824" spans="5:19" x14ac:dyDescent="0.25">
      <c r="E824" s="103"/>
      <c r="K824" s="12"/>
      <c r="L824" s="12"/>
      <c r="M824" s="12"/>
      <c r="N824" s="12"/>
      <c r="O824" s="12"/>
      <c r="P824" s="12"/>
      <c r="Q824" s="12"/>
      <c r="R824" s="12"/>
      <c r="S824" s="12"/>
    </row>
    <row r="825" spans="5:19" x14ac:dyDescent="0.25">
      <c r="E825" s="103"/>
      <c r="K825" s="12"/>
      <c r="L825" s="12"/>
      <c r="M825" s="12"/>
      <c r="N825" s="12"/>
      <c r="O825" s="12"/>
      <c r="P825" s="12"/>
      <c r="Q825" s="12"/>
      <c r="R825" s="12"/>
      <c r="S825" s="12"/>
    </row>
    <row r="826" spans="5:19" x14ac:dyDescent="0.25">
      <c r="E826" s="103"/>
      <c r="K826" s="12"/>
      <c r="L826" s="12"/>
      <c r="M826" s="12"/>
      <c r="N826" s="12"/>
      <c r="O826" s="12"/>
      <c r="P826" s="12"/>
      <c r="Q826" s="12"/>
      <c r="R826" s="12"/>
      <c r="S826" s="12"/>
    </row>
    <row r="827" spans="5:19" x14ac:dyDescent="0.25">
      <c r="E827" s="103"/>
      <c r="K827" s="12"/>
      <c r="L827" s="12"/>
      <c r="M827" s="12"/>
      <c r="N827" s="12"/>
      <c r="O827" s="12"/>
      <c r="P827" s="12"/>
      <c r="Q827" s="12"/>
      <c r="R827" s="12"/>
      <c r="S827" s="12"/>
    </row>
    <row r="828" spans="5:19" x14ac:dyDescent="0.25">
      <c r="E828" s="103"/>
      <c r="K828" s="12"/>
      <c r="L828" s="12"/>
      <c r="M828" s="12"/>
      <c r="N828" s="12"/>
      <c r="O828" s="12"/>
      <c r="P828" s="12"/>
      <c r="Q828" s="12"/>
      <c r="R828" s="12"/>
      <c r="S828" s="12"/>
    </row>
    <row r="829" spans="5:19" x14ac:dyDescent="0.25">
      <c r="E829" s="103"/>
      <c r="K829" s="12"/>
      <c r="L829" s="12"/>
      <c r="M829" s="12"/>
      <c r="N829" s="12"/>
      <c r="O829" s="12"/>
      <c r="P829" s="12"/>
      <c r="Q829" s="12"/>
      <c r="R829" s="12"/>
      <c r="S829" s="12"/>
    </row>
    <row r="830" spans="5:19" x14ac:dyDescent="0.25">
      <c r="E830" s="103"/>
      <c r="K830" s="12"/>
      <c r="L830" s="12"/>
      <c r="M830" s="12"/>
      <c r="N830" s="12"/>
      <c r="O830" s="12"/>
      <c r="P830" s="12"/>
      <c r="Q830" s="12"/>
      <c r="R830" s="12"/>
      <c r="S830" s="12"/>
    </row>
    <row r="831" spans="5:19" x14ac:dyDescent="0.25">
      <c r="E831" s="103"/>
      <c r="K831" s="12"/>
      <c r="L831" s="12"/>
      <c r="M831" s="12"/>
      <c r="N831" s="12"/>
      <c r="O831" s="12"/>
      <c r="P831" s="12"/>
      <c r="Q831" s="12"/>
      <c r="R831" s="12"/>
      <c r="S831" s="12"/>
    </row>
    <row r="832" spans="5:19" x14ac:dyDescent="0.25">
      <c r="E832" s="103"/>
      <c r="K832" s="12"/>
      <c r="L832" s="12"/>
      <c r="M832" s="12"/>
      <c r="N832" s="12"/>
      <c r="O832" s="12"/>
      <c r="P832" s="12"/>
      <c r="Q832" s="12"/>
      <c r="R832" s="12"/>
      <c r="S832" s="12"/>
    </row>
    <row r="833" spans="5:19" x14ac:dyDescent="0.25">
      <c r="E833" s="103"/>
      <c r="K833" s="12"/>
      <c r="L833" s="12"/>
      <c r="M833" s="12"/>
      <c r="N833" s="12"/>
      <c r="O833" s="12"/>
      <c r="P833" s="12"/>
      <c r="Q833" s="12"/>
      <c r="R833" s="12"/>
      <c r="S833" s="12"/>
    </row>
    <row r="834" spans="5:19" x14ac:dyDescent="0.25">
      <c r="E834" s="103"/>
      <c r="K834" s="12"/>
      <c r="L834" s="12"/>
      <c r="M834" s="12"/>
      <c r="N834" s="12"/>
      <c r="O834" s="12"/>
      <c r="P834" s="12"/>
      <c r="Q834" s="12"/>
      <c r="R834" s="12"/>
      <c r="S834" s="12"/>
    </row>
    <row r="835" spans="5:19" x14ac:dyDescent="0.25">
      <c r="E835" s="103"/>
      <c r="K835" s="12"/>
      <c r="L835" s="12"/>
      <c r="M835" s="12"/>
      <c r="N835" s="12"/>
      <c r="O835" s="12"/>
      <c r="P835" s="12"/>
      <c r="Q835" s="12"/>
      <c r="R835" s="12"/>
      <c r="S835" s="12"/>
    </row>
    <row r="836" spans="5:19" x14ac:dyDescent="0.25">
      <c r="E836" s="103"/>
      <c r="K836" s="12"/>
      <c r="L836" s="12"/>
      <c r="M836" s="12"/>
      <c r="N836" s="12"/>
      <c r="O836" s="12"/>
      <c r="P836" s="12"/>
      <c r="Q836" s="12"/>
      <c r="R836" s="12"/>
      <c r="S836" s="12"/>
    </row>
    <row r="837" spans="5:19" x14ac:dyDescent="0.25">
      <c r="E837" s="103"/>
      <c r="K837" s="12"/>
      <c r="L837" s="12"/>
      <c r="M837" s="12"/>
      <c r="N837" s="12"/>
      <c r="O837" s="12"/>
      <c r="P837" s="12"/>
      <c r="Q837" s="12"/>
      <c r="R837" s="12"/>
      <c r="S837" s="12"/>
    </row>
    <row r="838" spans="5:19" x14ac:dyDescent="0.25">
      <c r="E838" s="103"/>
      <c r="K838" s="12"/>
      <c r="L838" s="12"/>
      <c r="M838" s="12"/>
      <c r="N838" s="12"/>
      <c r="O838" s="12"/>
      <c r="P838" s="12"/>
      <c r="Q838" s="12"/>
      <c r="R838" s="12"/>
      <c r="S838" s="12"/>
    </row>
    <row r="839" spans="5:19" x14ac:dyDescent="0.25">
      <c r="E839" s="103"/>
      <c r="K839" s="12"/>
      <c r="L839" s="12"/>
      <c r="M839" s="12"/>
      <c r="N839" s="12"/>
      <c r="O839" s="12"/>
      <c r="P839" s="12"/>
      <c r="Q839" s="12"/>
      <c r="R839" s="12"/>
      <c r="S839" s="12"/>
    </row>
    <row r="840" spans="5:19" x14ac:dyDescent="0.25">
      <c r="E840" s="103"/>
      <c r="K840" s="12"/>
      <c r="L840" s="12"/>
      <c r="M840" s="12"/>
      <c r="N840" s="12"/>
      <c r="O840" s="12"/>
      <c r="P840" s="12"/>
      <c r="Q840" s="12"/>
      <c r="R840" s="12"/>
      <c r="S840" s="12"/>
    </row>
    <row r="841" spans="5:19" x14ac:dyDescent="0.25">
      <c r="E841" s="103"/>
      <c r="K841" s="12"/>
      <c r="L841" s="12"/>
      <c r="M841" s="12"/>
      <c r="N841" s="12"/>
      <c r="O841" s="12"/>
      <c r="P841" s="12"/>
      <c r="Q841" s="12"/>
      <c r="R841" s="12"/>
      <c r="S841" s="12"/>
    </row>
    <row r="842" spans="5:19" x14ac:dyDescent="0.25">
      <c r="E842" s="103"/>
      <c r="K842" s="12"/>
      <c r="L842" s="12"/>
      <c r="M842" s="12"/>
      <c r="N842" s="12"/>
      <c r="O842" s="12"/>
      <c r="P842" s="12"/>
      <c r="Q842" s="12"/>
      <c r="R842" s="12"/>
      <c r="S842" s="12"/>
    </row>
    <row r="843" spans="5:19" x14ac:dyDescent="0.25">
      <c r="E843" s="103"/>
      <c r="K843" s="12"/>
      <c r="L843" s="12"/>
      <c r="M843" s="12"/>
      <c r="N843" s="12"/>
      <c r="O843" s="12"/>
      <c r="P843" s="12"/>
      <c r="Q843" s="12"/>
      <c r="R843" s="12"/>
      <c r="S843" s="12"/>
    </row>
    <row r="844" spans="5:19" x14ac:dyDescent="0.25">
      <c r="E844" s="103"/>
      <c r="K844" s="12"/>
      <c r="L844" s="12"/>
      <c r="M844" s="12"/>
      <c r="N844" s="12"/>
      <c r="O844" s="12"/>
      <c r="P844" s="12"/>
      <c r="Q844" s="12"/>
      <c r="R844" s="12"/>
      <c r="S844" s="12"/>
    </row>
    <row r="845" spans="5:19" x14ac:dyDescent="0.25">
      <c r="E845" s="103"/>
      <c r="K845" s="12"/>
      <c r="L845" s="12"/>
      <c r="M845" s="12"/>
      <c r="N845" s="12"/>
      <c r="O845" s="12"/>
      <c r="P845" s="12"/>
      <c r="Q845" s="12"/>
      <c r="R845" s="12"/>
      <c r="S845" s="12"/>
    </row>
    <row r="846" spans="5:19" x14ac:dyDescent="0.25">
      <c r="M846" s="12"/>
      <c r="N846" s="12"/>
    </row>
  </sheetData>
  <mergeCells count="8">
    <mergeCell ref="D3:F3"/>
    <mergeCell ref="M26:N27"/>
    <mergeCell ref="N7:N8"/>
    <mergeCell ref="M7:M8"/>
    <mergeCell ref="L3:R4"/>
    <mergeCell ref="P19:Q20"/>
    <mergeCell ref="Q13:Q14"/>
    <mergeCell ref="P13:P14"/>
  </mergeCells>
  <conditionalFormatting sqref="B7:J99 B846:J1000">
    <cfRule type="expression" dxfId="3" priority="8">
      <formula>$X$6=ROW()</formula>
    </cfRule>
    <cfRule type="expression" dxfId="2" priority="9">
      <formula>AND($B7&lt;&gt;"",MOD(ROW(),2)=1)</formula>
    </cfRule>
    <cfRule type="expression" dxfId="1" priority="10">
      <formula>AND($B7&lt;&gt;"",MOD(ROW(),2)=0)</formula>
    </cfRule>
  </conditionalFormatting>
  <conditionalFormatting sqref="X10:X15">
    <cfRule type="expression" dxfId="0" priority="1">
      <formula>$X$10="Nama karyawan salah atau tidak ada"</formula>
    </cfRule>
  </conditionalFormatting>
  <dataValidations count="1">
    <dataValidation type="list" allowBlank="1" showInputMessage="1" showErrorMessage="1" sqref="N12" xr:uid="{D157300A-FF59-42E2-A4F2-D9031DED27D9}">
      <formula1>NamaKaryawan</formula1>
    </dataValidation>
  </dataValidations>
  <printOptions horizontalCentered="1" verticalCentered="1"/>
  <pageMargins left="0.78740157480314965" right="0.78740157480314965" top="0.78740157480314965" bottom="0.78740157480314965" header="0.39370078740157483" footer="0.39370078740157483"/>
  <pageSetup paperSize="9" scale="18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2EC8-0E98-4FE3-A2B8-6747EEDA7DA5}">
  <sheetPr codeName="Database"/>
  <dimension ref="A1:AP336"/>
  <sheetViews>
    <sheetView tabSelected="1" topLeftCell="J1" zoomScale="70" zoomScaleNormal="70" workbookViewId="0">
      <selection activeCell="R8" sqref="R8"/>
    </sheetView>
  </sheetViews>
  <sheetFormatPr defaultRowHeight="15" x14ac:dyDescent="0.25"/>
  <cols>
    <col min="1" max="1" width="5.42578125" style="46" bestFit="1" customWidth="1"/>
    <col min="2" max="2" width="11.140625" style="47" bestFit="1" customWidth="1"/>
    <col min="3" max="3" width="13.5703125" style="47" bestFit="1" customWidth="1"/>
    <col min="4" max="4" width="12.42578125" style="47" bestFit="1" customWidth="1"/>
    <col min="5" max="5" width="51.85546875" style="47" bestFit="1" customWidth="1"/>
    <col min="6" max="6" width="13.42578125" style="47" bestFit="1" customWidth="1"/>
    <col min="7" max="7" width="52.7109375" style="47" bestFit="1" customWidth="1"/>
    <col min="8" max="8" width="14.5703125" style="47" bestFit="1" customWidth="1"/>
    <col min="9" max="9" width="7.5703125" style="47" bestFit="1" customWidth="1"/>
    <col min="10" max="10" width="8.42578125" style="131" bestFit="1" customWidth="1"/>
    <col min="11" max="11" width="17.7109375" style="131" bestFit="1" customWidth="1"/>
    <col min="12" max="12" width="27.28515625" style="47" bestFit="1" customWidth="1"/>
    <col min="13" max="13" width="10.28515625" style="47" bestFit="1" customWidth="1"/>
    <col min="14" max="14" width="14.85546875" style="47" bestFit="1" customWidth="1"/>
    <col min="15" max="15" width="13.5703125" style="47" bestFit="1" customWidth="1"/>
    <col min="16" max="16" width="8.85546875" style="47" bestFit="1" customWidth="1"/>
    <col min="17" max="17" width="17" style="47" bestFit="1" customWidth="1"/>
    <col min="18" max="18" width="15.42578125" bestFit="1" customWidth="1"/>
    <col min="19" max="19" width="18.42578125" bestFit="1" customWidth="1"/>
    <col min="20" max="20" width="14.140625" bestFit="1" customWidth="1"/>
    <col min="21" max="21" width="15.42578125" bestFit="1" customWidth="1"/>
    <col min="22" max="22" width="5" bestFit="1" customWidth="1"/>
    <col min="23" max="25" width="9.140625" style="43"/>
    <col min="26" max="26" width="6.42578125" style="43" bestFit="1" customWidth="1"/>
    <col min="27" max="27" width="6.85546875" style="43" bestFit="1" customWidth="1"/>
    <col min="28" max="28" width="18" style="43" bestFit="1" customWidth="1"/>
    <col min="29" max="29" width="12.7109375" style="43" bestFit="1" customWidth="1"/>
    <col min="30" max="30" width="12.7109375" style="43" customWidth="1"/>
    <col min="31" max="31" width="12.7109375" style="43" bestFit="1" customWidth="1"/>
    <col min="32" max="32" width="9.140625" style="43"/>
    <col min="33" max="33" width="4.28515625" style="38" bestFit="1" customWidth="1"/>
    <col min="34" max="34" width="51.85546875" style="38" bestFit="1" customWidth="1"/>
    <col min="35" max="35" width="13.42578125" style="38" bestFit="1" customWidth="1"/>
    <col min="36" max="36" width="48.28515625" style="38" bestFit="1" customWidth="1"/>
    <col min="37" max="37" width="17.7109375" style="38" bestFit="1" customWidth="1"/>
    <col min="38" max="38" width="27.28515625" style="38" bestFit="1" customWidth="1"/>
    <col min="39" max="39" width="10.28515625" style="38" bestFit="1" customWidth="1"/>
    <col min="40" max="40" width="14.85546875" style="43" bestFit="1" customWidth="1"/>
    <col min="41" max="41" width="13.5703125" style="43" bestFit="1" customWidth="1"/>
    <col min="42" max="42" width="17" style="43" bestFit="1" customWidth="1"/>
    <col min="43" max="16384" width="9.140625" style="43"/>
  </cols>
  <sheetData>
    <row r="1" spans="1:42" ht="15.75" thickBot="1" x14ac:dyDescent="0.3">
      <c r="A1" s="39" t="s">
        <v>88</v>
      </c>
      <c r="B1" s="40" t="s">
        <v>89</v>
      </c>
      <c r="C1" s="40" t="s">
        <v>90</v>
      </c>
      <c r="D1" s="40" t="s">
        <v>91</v>
      </c>
      <c r="E1" s="40" t="s">
        <v>67</v>
      </c>
      <c r="F1" s="40" t="s">
        <v>69</v>
      </c>
      <c r="G1" s="40" t="s">
        <v>66</v>
      </c>
      <c r="H1" s="40" t="s">
        <v>92</v>
      </c>
      <c r="I1" s="40" t="s">
        <v>99</v>
      </c>
      <c r="J1" s="128" t="s">
        <v>100</v>
      </c>
      <c r="K1" s="128" t="s">
        <v>93</v>
      </c>
      <c r="L1" s="40" t="s">
        <v>71</v>
      </c>
      <c r="M1" s="40" t="s">
        <v>70</v>
      </c>
      <c r="N1" s="40" t="s">
        <v>94</v>
      </c>
      <c r="O1" s="40" t="s">
        <v>95</v>
      </c>
      <c r="P1" s="40" t="s">
        <v>96</v>
      </c>
      <c r="Q1" s="40" t="s">
        <v>97</v>
      </c>
      <c r="R1" s="40" t="s">
        <v>98</v>
      </c>
      <c r="S1" s="41" t="s">
        <v>72</v>
      </c>
      <c r="T1" s="41" t="s">
        <v>68</v>
      </c>
      <c r="U1" s="43" t="s">
        <v>133</v>
      </c>
      <c r="V1" s="42"/>
      <c r="Z1" s="180" t="s">
        <v>62</v>
      </c>
      <c r="AA1" s="180"/>
      <c r="AB1" s="180"/>
      <c r="AC1" s="180"/>
      <c r="AD1" s="101"/>
      <c r="AE1" s="55" t="s">
        <v>63</v>
      </c>
      <c r="AG1" s="177" t="s">
        <v>64</v>
      </c>
      <c r="AH1" s="177"/>
      <c r="AI1" s="177"/>
      <c r="AJ1" s="177"/>
      <c r="AK1" s="177"/>
      <c r="AL1" s="177"/>
      <c r="AM1" s="177"/>
    </row>
    <row r="2" spans="1:42" s="45" customFormat="1" ht="15.75" thickBot="1" x14ac:dyDescent="0.3">
      <c r="A2" s="178" t="s">
        <v>137</v>
      </c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V2" s="44"/>
      <c r="Z2" s="56" t="s">
        <v>7</v>
      </c>
      <c r="AA2" s="56" t="s">
        <v>25</v>
      </c>
      <c r="AB2" s="56" t="s">
        <v>4</v>
      </c>
      <c r="AC2" s="56" t="s">
        <v>76</v>
      </c>
      <c r="AD2" s="58" t="s">
        <v>80</v>
      </c>
      <c r="AE2" s="56" t="str">
        <f>IF('Manajemen Aset'!C3="",G3,'Manajemen Aset'!C3)</f>
        <v>Nama / Merek Barang</v>
      </c>
      <c r="AG2" s="27" t="s">
        <v>37</v>
      </c>
      <c r="AH2" s="58" t="s">
        <v>26</v>
      </c>
      <c r="AI2" s="58" t="s">
        <v>76</v>
      </c>
      <c r="AJ2" s="58" t="s">
        <v>78</v>
      </c>
      <c r="AK2" s="58" t="s">
        <v>4</v>
      </c>
      <c r="AL2" s="37" t="s">
        <v>6</v>
      </c>
      <c r="AM2" s="36" t="s">
        <v>7</v>
      </c>
      <c r="AN2" s="58" t="s">
        <v>80</v>
      </c>
      <c r="AO2" s="7" t="s">
        <v>77</v>
      </c>
      <c r="AP2" s="7" t="s">
        <v>25</v>
      </c>
    </row>
    <row r="3" spans="1:42" x14ac:dyDescent="0.25">
      <c r="A3" s="59" t="s">
        <v>37</v>
      </c>
      <c r="B3" s="53" t="s">
        <v>0</v>
      </c>
      <c r="C3" s="53" t="s">
        <v>45</v>
      </c>
      <c r="D3" s="53" t="s">
        <v>1</v>
      </c>
      <c r="E3" s="52" t="s">
        <v>26</v>
      </c>
      <c r="F3" s="52" t="s">
        <v>76</v>
      </c>
      <c r="G3" s="52" t="s">
        <v>78</v>
      </c>
      <c r="H3" s="53" t="s">
        <v>79</v>
      </c>
      <c r="I3" s="53" t="s">
        <v>2</v>
      </c>
      <c r="J3" s="129" t="s">
        <v>3</v>
      </c>
      <c r="K3" s="130" t="s">
        <v>4</v>
      </c>
      <c r="L3" s="52" t="s">
        <v>6</v>
      </c>
      <c r="M3" s="52" t="s">
        <v>7</v>
      </c>
      <c r="N3" s="52" t="s">
        <v>80</v>
      </c>
      <c r="O3" s="52" t="s">
        <v>77</v>
      </c>
      <c r="P3" s="52" t="s">
        <v>5</v>
      </c>
      <c r="Q3" s="52" t="s">
        <v>25</v>
      </c>
      <c r="R3" s="53" t="s">
        <v>81</v>
      </c>
      <c r="S3" s="60" t="s">
        <v>36</v>
      </c>
      <c r="T3" s="60" t="s">
        <v>28</v>
      </c>
      <c r="U3" s="43" t="s">
        <v>132</v>
      </c>
      <c r="V3" s="54" t="s">
        <v>39</v>
      </c>
      <c r="Z3" s="57" t="str">
        <f>IF('Manajemen Aset'!F4="","","*"&amp;'Manajemen Aset'!F4&amp;"*")</f>
        <v/>
      </c>
      <c r="AA3" s="57" t="str">
        <f>IF('Manajemen Aset'!D4="","","*"&amp;'Manajemen Aset'!D4&amp;"*")</f>
        <v/>
      </c>
      <c r="AB3" s="56" t="str">
        <f>IF('Manajemen Aset'!J3="","","*"&amp;'Manajemen Aset'!J3&amp;"*")</f>
        <v/>
      </c>
      <c r="AC3" s="57" t="str">
        <f>IF('Manajemen Aset'!H3="","","*"&amp;'Manajemen Aset'!H3&amp;"*")</f>
        <v/>
      </c>
      <c r="AD3" s="57" t="str">
        <f>IF('Manajemen Aset'!H4="","","*"&amp;'Manajemen Aset'!H4&amp;"*")</f>
        <v/>
      </c>
      <c r="AE3" s="56" t="str">
        <f>"*"&amp;'Manajemen Aset'!D3&amp;"*"</f>
        <v>**</v>
      </c>
      <c r="AG3" s="33">
        <v>1</v>
      </c>
      <c r="AH3" s="139" t="s">
        <v>156</v>
      </c>
      <c r="AI3" s="138" t="s">
        <v>10</v>
      </c>
      <c r="AJ3" s="69" t="s">
        <v>11</v>
      </c>
      <c r="AK3" s="139" t="s">
        <v>85</v>
      </c>
      <c r="AL3" s="69" t="s">
        <v>140</v>
      </c>
      <c r="AM3" s="69" t="s">
        <v>143</v>
      </c>
      <c r="AN3" s="140" t="s">
        <v>172</v>
      </c>
      <c r="AO3" s="140" t="s">
        <v>130</v>
      </c>
      <c r="AP3" s="140" t="s">
        <v>42</v>
      </c>
    </row>
    <row r="4" spans="1:42" x14ac:dyDescent="0.25">
      <c r="A4" s="33">
        <v>1</v>
      </c>
      <c r="B4" s="66" t="s">
        <v>8</v>
      </c>
      <c r="C4" s="66" t="s">
        <v>129</v>
      </c>
      <c r="D4" s="138" t="s">
        <v>9</v>
      </c>
      <c r="E4" s="139" t="s">
        <v>156</v>
      </c>
      <c r="F4" s="138" t="s">
        <v>10</v>
      </c>
      <c r="G4" s="69" t="s">
        <v>11</v>
      </c>
      <c r="H4" s="69" t="s">
        <v>130</v>
      </c>
      <c r="I4" s="139" t="s">
        <v>12</v>
      </c>
      <c r="J4" s="139">
        <v>1</v>
      </c>
      <c r="K4" s="139" t="s">
        <v>85</v>
      </c>
      <c r="L4" s="69" t="s">
        <v>140</v>
      </c>
      <c r="M4" s="69" t="s">
        <v>143</v>
      </c>
      <c r="N4" s="140" t="s">
        <v>172</v>
      </c>
      <c r="O4" s="140" t="s">
        <v>130</v>
      </c>
      <c r="P4" s="139" t="s">
        <v>40</v>
      </c>
      <c r="Q4" s="140" t="s">
        <v>42</v>
      </c>
      <c r="R4" s="141" t="s">
        <v>122</v>
      </c>
      <c r="S4" s="32" t="s">
        <v>169</v>
      </c>
      <c r="T4" s="32" t="s">
        <v>169</v>
      </c>
      <c r="U4" s="43" t="s">
        <v>140</v>
      </c>
      <c r="V4" s="102">
        <f>ROW()</f>
        <v>4</v>
      </c>
      <c r="AG4" s="33">
        <v>2</v>
      </c>
      <c r="AH4" s="139" t="s">
        <v>157</v>
      </c>
      <c r="AI4" s="138" t="s">
        <v>10</v>
      </c>
      <c r="AJ4" s="69" t="s">
        <v>11</v>
      </c>
      <c r="AK4" s="139" t="s">
        <v>85</v>
      </c>
      <c r="AL4" s="142" t="s">
        <v>43</v>
      </c>
      <c r="AM4" s="69" t="s">
        <v>43</v>
      </c>
      <c r="AN4" s="140" t="s">
        <v>174</v>
      </c>
      <c r="AO4" s="140" t="s">
        <v>130</v>
      </c>
      <c r="AP4" s="140" t="s">
        <v>41</v>
      </c>
    </row>
    <row r="5" spans="1:42" x14ac:dyDescent="0.25">
      <c r="A5" s="33">
        <v>2</v>
      </c>
      <c r="B5" s="66" t="s">
        <v>8</v>
      </c>
      <c r="C5" s="66" t="s">
        <v>129</v>
      </c>
      <c r="D5" s="138" t="s">
        <v>13</v>
      </c>
      <c r="E5" s="139" t="s">
        <v>157</v>
      </c>
      <c r="F5" s="138" t="s">
        <v>10</v>
      </c>
      <c r="G5" s="69" t="s">
        <v>11</v>
      </c>
      <c r="H5" s="69" t="s">
        <v>130</v>
      </c>
      <c r="I5" s="139" t="s">
        <v>12</v>
      </c>
      <c r="J5" s="139">
        <v>1</v>
      </c>
      <c r="K5" s="139" t="s">
        <v>85</v>
      </c>
      <c r="L5" s="142" t="s">
        <v>43</v>
      </c>
      <c r="M5" s="69" t="s">
        <v>43</v>
      </c>
      <c r="N5" s="140" t="s">
        <v>174</v>
      </c>
      <c r="O5" s="140" t="s">
        <v>130</v>
      </c>
      <c r="P5" s="139" t="s">
        <v>40</v>
      </c>
      <c r="Q5" s="140" t="s">
        <v>41</v>
      </c>
      <c r="R5" s="141"/>
      <c r="S5" s="32" t="s">
        <v>169</v>
      </c>
      <c r="T5" s="32" t="s">
        <v>169</v>
      </c>
      <c r="U5" s="43" t="s">
        <v>149</v>
      </c>
      <c r="V5" s="102">
        <f>ROW()</f>
        <v>5</v>
      </c>
      <c r="AG5" s="33">
        <v>3</v>
      </c>
      <c r="AH5" s="139" t="s">
        <v>158</v>
      </c>
      <c r="AI5" s="138" t="s">
        <v>10</v>
      </c>
      <c r="AJ5" s="69" t="s">
        <v>11</v>
      </c>
      <c r="AK5" s="139" t="s">
        <v>85</v>
      </c>
      <c r="AL5" s="69" t="s">
        <v>147</v>
      </c>
      <c r="AM5" s="69" t="s">
        <v>43</v>
      </c>
      <c r="AN5" s="140" t="s">
        <v>173</v>
      </c>
      <c r="AO5" s="140" t="s">
        <v>130</v>
      </c>
      <c r="AP5" s="140" t="s">
        <v>42</v>
      </c>
    </row>
    <row r="6" spans="1:42" x14ac:dyDescent="0.25">
      <c r="A6" s="33">
        <v>3</v>
      </c>
      <c r="B6" s="66" t="s">
        <v>8</v>
      </c>
      <c r="C6" s="66" t="s">
        <v>129</v>
      </c>
      <c r="D6" s="138" t="s">
        <v>14</v>
      </c>
      <c r="E6" s="139" t="s">
        <v>158</v>
      </c>
      <c r="F6" s="138" t="s">
        <v>10</v>
      </c>
      <c r="G6" s="69" t="s">
        <v>11</v>
      </c>
      <c r="H6" s="69" t="s">
        <v>130</v>
      </c>
      <c r="I6" s="139" t="s">
        <v>12</v>
      </c>
      <c r="J6" s="139">
        <v>1</v>
      </c>
      <c r="K6" s="139" t="s">
        <v>85</v>
      </c>
      <c r="L6" s="69" t="s">
        <v>147</v>
      </c>
      <c r="M6" s="69" t="s">
        <v>43</v>
      </c>
      <c r="N6" s="140" t="s">
        <v>173</v>
      </c>
      <c r="O6" s="140" t="s">
        <v>130</v>
      </c>
      <c r="P6" s="139" t="s">
        <v>40</v>
      </c>
      <c r="Q6" s="140" t="s">
        <v>42</v>
      </c>
      <c r="R6" s="141" t="s">
        <v>122</v>
      </c>
      <c r="S6" s="32"/>
      <c r="T6" s="32"/>
      <c r="U6" s="43"/>
      <c r="V6" s="102">
        <f>ROW()</f>
        <v>6</v>
      </c>
      <c r="AG6" s="33">
        <v>4</v>
      </c>
      <c r="AH6" s="139" t="s">
        <v>159</v>
      </c>
      <c r="AI6" s="138" t="s">
        <v>10</v>
      </c>
      <c r="AJ6" s="69" t="s">
        <v>55</v>
      </c>
      <c r="AK6" s="139" t="s">
        <v>85</v>
      </c>
      <c r="AL6" s="69" t="s">
        <v>148</v>
      </c>
      <c r="AM6" s="69" t="s">
        <v>83</v>
      </c>
      <c r="AN6" s="140" t="s">
        <v>173</v>
      </c>
      <c r="AO6" s="140" t="s">
        <v>130</v>
      </c>
      <c r="AP6" s="140" t="s">
        <v>42</v>
      </c>
    </row>
    <row r="7" spans="1:42" x14ac:dyDescent="0.25">
      <c r="A7" s="33">
        <v>4</v>
      </c>
      <c r="B7" s="66" t="s">
        <v>8</v>
      </c>
      <c r="C7" s="66" t="s">
        <v>129</v>
      </c>
      <c r="D7" s="138" t="s">
        <v>15</v>
      </c>
      <c r="E7" s="139" t="s">
        <v>159</v>
      </c>
      <c r="F7" s="138" t="s">
        <v>10</v>
      </c>
      <c r="G7" s="69" t="s">
        <v>55</v>
      </c>
      <c r="H7" s="69" t="s">
        <v>130</v>
      </c>
      <c r="I7" s="139" t="s">
        <v>12</v>
      </c>
      <c r="J7" s="139">
        <v>1</v>
      </c>
      <c r="K7" s="139" t="s">
        <v>85</v>
      </c>
      <c r="L7" s="69" t="s">
        <v>148</v>
      </c>
      <c r="M7" s="69" t="s">
        <v>83</v>
      </c>
      <c r="N7" s="140" t="s">
        <v>173</v>
      </c>
      <c r="O7" s="140" t="s">
        <v>130</v>
      </c>
      <c r="P7" s="139" t="s">
        <v>40</v>
      </c>
      <c r="Q7" s="140" t="s">
        <v>42</v>
      </c>
      <c r="R7" s="143"/>
      <c r="S7" s="32" t="s">
        <v>131</v>
      </c>
      <c r="T7" s="32" t="s">
        <v>131</v>
      </c>
      <c r="U7" s="43"/>
      <c r="V7" s="102">
        <f>ROW()</f>
        <v>7</v>
      </c>
      <c r="AG7" s="33">
        <v>5</v>
      </c>
      <c r="AH7" s="139" t="s">
        <v>160</v>
      </c>
      <c r="AI7" s="138" t="s">
        <v>10</v>
      </c>
      <c r="AJ7" s="69" t="s">
        <v>55</v>
      </c>
      <c r="AK7" s="139" t="s">
        <v>85</v>
      </c>
      <c r="AL7" s="69" t="s">
        <v>149</v>
      </c>
      <c r="AM7" s="69" t="s">
        <v>83</v>
      </c>
      <c r="AN7" s="140" t="s">
        <v>174</v>
      </c>
      <c r="AO7" s="140" t="s">
        <v>130</v>
      </c>
      <c r="AP7" s="140" t="s">
        <v>42</v>
      </c>
    </row>
    <row r="8" spans="1:42" x14ac:dyDescent="0.25">
      <c r="A8" s="33">
        <v>5</v>
      </c>
      <c r="B8" s="66" t="s">
        <v>8</v>
      </c>
      <c r="C8" s="66" t="s">
        <v>129</v>
      </c>
      <c r="D8" s="138" t="s">
        <v>16</v>
      </c>
      <c r="E8" s="139" t="s">
        <v>160</v>
      </c>
      <c r="F8" s="138" t="s">
        <v>10</v>
      </c>
      <c r="G8" s="69" t="s">
        <v>55</v>
      </c>
      <c r="H8" s="69" t="s">
        <v>130</v>
      </c>
      <c r="I8" s="139" t="s">
        <v>12</v>
      </c>
      <c r="J8" s="139">
        <v>1</v>
      </c>
      <c r="K8" s="139" t="s">
        <v>85</v>
      </c>
      <c r="L8" s="69" t="s">
        <v>149</v>
      </c>
      <c r="M8" s="69" t="s">
        <v>83</v>
      </c>
      <c r="N8" s="140" t="s">
        <v>174</v>
      </c>
      <c r="O8" s="140" t="s">
        <v>130</v>
      </c>
      <c r="P8" s="139" t="s">
        <v>40</v>
      </c>
      <c r="Q8" s="140" t="s">
        <v>42</v>
      </c>
      <c r="R8" s="143" t="s">
        <v>123</v>
      </c>
      <c r="S8" s="32"/>
      <c r="T8" s="32"/>
      <c r="U8" s="43"/>
      <c r="V8" s="102">
        <f>ROW()</f>
        <v>8</v>
      </c>
      <c r="AE8" s="43" t="str">
        <f>IF(OR('Manajemen Aset'!C3="",'Manajemen Aset'!D3=""),"",IF(AND('Manajemen Aset'!C3="Nama / Merek Barang",'Manajemen Aset'!D3&lt;&gt;""),'Manajemen Aset'!D3,"*"&amp;'Manajemen Aset'!D3&amp;"*"))</f>
        <v/>
      </c>
      <c r="AG8" s="33">
        <v>6</v>
      </c>
      <c r="AH8" s="139" t="s">
        <v>161</v>
      </c>
      <c r="AI8" s="138" t="s">
        <v>10</v>
      </c>
      <c r="AJ8" s="69" t="s">
        <v>55</v>
      </c>
      <c r="AK8" s="139" t="s">
        <v>85</v>
      </c>
      <c r="AL8" s="69" t="s">
        <v>149</v>
      </c>
      <c r="AM8" s="69" t="s">
        <v>43</v>
      </c>
      <c r="AN8" s="140" t="s">
        <v>174</v>
      </c>
      <c r="AO8" s="140" t="s">
        <v>130</v>
      </c>
      <c r="AP8" s="140" t="s">
        <v>42</v>
      </c>
    </row>
    <row r="9" spans="1:42" x14ac:dyDescent="0.25">
      <c r="A9" s="33">
        <v>6</v>
      </c>
      <c r="B9" s="66" t="s">
        <v>8</v>
      </c>
      <c r="C9" s="66" t="s">
        <v>129</v>
      </c>
      <c r="D9" s="138" t="s">
        <v>17</v>
      </c>
      <c r="E9" s="139" t="s">
        <v>161</v>
      </c>
      <c r="F9" s="138" t="s">
        <v>10</v>
      </c>
      <c r="G9" s="69" t="s">
        <v>55</v>
      </c>
      <c r="H9" s="69" t="s">
        <v>130</v>
      </c>
      <c r="I9" s="139" t="s">
        <v>12</v>
      </c>
      <c r="J9" s="139">
        <v>1</v>
      </c>
      <c r="K9" s="139" t="s">
        <v>85</v>
      </c>
      <c r="L9" s="69" t="s">
        <v>149</v>
      </c>
      <c r="M9" s="69" t="s">
        <v>43</v>
      </c>
      <c r="N9" s="140" t="s">
        <v>174</v>
      </c>
      <c r="O9" s="140" t="s">
        <v>130</v>
      </c>
      <c r="P9" s="139" t="s">
        <v>40</v>
      </c>
      <c r="Q9" s="140" t="s">
        <v>42</v>
      </c>
      <c r="R9" s="143" t="s">
        <v>123</v>
      </c>
      <c r="S9" s="32" t="s">
        <v>169</v>
      </c>
      <c r="T9" s="32" t="s">
        <v>169</v>
      </c>
      <c r="U9" s="43" t="s">
        <v>43</v>
      </c>
      <c r="V9" s="102">
        <f>ROW()</f>
        <v>9</v>
      </c>
      <c r="AG9" s="33">
        <v>7</v>
      </c>
      <c r="AH9" s="139" t="s">
        <v>162</v>
      </c>
      <c r="AI9" s="138" t="s">
        <v>10</v>
      </c>
      <c r="AJ9" s="69" t="s">
        <v>56</v>
      </c>
      <c r="AK9" s="139" t="s">
        <v>85</v>
      </c>
      <c r="AL9" s="69" t="s">
        <v>43</v>
      </c>
      <c r="AM9" s="69" t="s">
        <v>43</v>
      </c>
      <c r="AN9" s="140" t="s">
        <v>175</v>
      </c>
      <c r="AO9" s="140" t="s">
        <v>130</v>
      </c>
      <c r="AP9" s="140" t="s">
        <v>41</v>
      </c>
    </row>
    <row r="10" spans="1:42" x14ac:dyDescent="0.25">
      <c r="A10" s="33">
        <v>7</v>
      </c>
      <c r="B10" s="66" t="s">
        <v>8</v>
      </c>
      <c r="C10" s="66" t="s">
        <v>129</v>
      </c>
      <c r="D10" s="138" t="s">
        <v>18</v>
      </c>
      <c r="E10" s="139" t="s">
        <v>162</v>
      </c>
      <c r="F10" s="138" t="s">
        <v>10</v>
      </c>
      <c r="G10" s="69" t="s">
        <v>56</v>
      </c>
      <c r="H10" s="69" t="s">
        <v>130</v>
      </c>
      <c r="I10" s="139" t="s">
        <v>12</v>
      </c>
      <c r="J10" s="139">
        <v>1</v>
      </c>
      <c r="K10" s="139" t="s">
        <v>85</v>
      </c>
      <c r="L10" s="69" t="s">
        <v>43</v>
      </c>
      <c r="M10" s="69" t="s">
        <v>43</v>
      </c>
      <c r="N10" s="140" t="s">
        <v>175</v>
      </c>
      <c r="O10" s="140" t="s">
        <v>130</v>
      </c>
      <c r="P10" s="139" t="s">
        <v>40</v>
      </c>
      <c r="Q10" s="140" t="s">
        <v>41</v>
      </c>
      <c r="R10" s="143" t="s">
        <v>124</v>
      </c>
      <c r="S10" s="32"/>
      <c r="T10" s="32"/>
      <c r="U10" s="43"/>
      <c r="V10" s="102">
        <f>ROW()</f>
        <v>10</v>
      </c>
      <c r="AG10" s="33">
        <v>8</v>
      </c>
      <c r="AH10" s="139" t="s">
        <v>163</v>
      </c>
      <c r="AI10" s="138" t="s">
        <v>10</v>
      </c>
      <c r="AJ10" s="69" t="s">
        <v>56</v>
      </c>
      <c r="AK10" s="139" t="s">
        <v>85</v>
      </c>
      <c r="AL10" s="69" t="s">
        <v>43</v>
      </c>
      <c r="AM10" s="69" t="s">
        <v>43</v>
      </c>
      <c r="AN10" s="140" t="s">
        <v>175</v>
      </c>
      <c r="AO10" s="140" t="s">
        <v>130</v>
      </c>
      <c r="AP10" s="140" t="s">
        <v>41</v>
      </c>
    </row>
    <row r="11" spans="1:42" x14ac:dyDescent="0.25">
      <c r="A11" s="33">
        <v>8</v>
      </c>
      <c r="B11" s="66" t="s">
        <v>8</v>
      </c>
      <c r="C11" s="66" t="s">
        <v>129</v>
      </c>
      <c r="D11" s="138" t="s">
        <v>19</v>
      </c>
      <c r="E11" s="139" t="s">
        <v>163</v>
      </c>
      <c r="F11" s="138" t="s">
        <v>10</v>
      </c>
      <c r="G11" s="69" t="s">
        <v>56</v>
      </c>
      <c r="H11" s="69" t="s">
        <v>130</v>
      </c>
      <c r="I11" s="139" t="s">
        <v>12</v>
      </c>
      <c r="J11" s="139">
        <v>1</v>
      </c>
      <c r="K11" s="139" t="s">
        <v>85</v>
      </c>
      <c r="L11" s="69" t="s">
        <v>43</v>
      </c>
      <c r="M11" s="69" t="s">
        <v>43</v>
      </c>
      <c r="N11" s="140" t="s">
        <v>175</v>
      </c>
      <c r="O11" s="140" t="s">
        <v>130</v>
      </c>
      <c r="P11" s="140" t="s">
        <v>40</v>
      </c>
      <c r="Q11" s="140" t="s">
        <v>41</v>
      </c>
      <c r="R11" s="143" t="s">
        <v>124</v>
      </c>
      <c r="S11" s="32"/>
      <c r="T11" s="32"/>
      <c r="U11" s="43"/>
      <c r="V11" s="102">
        <f>ROW()</f>
        <v>11</v>
      </c>
      <c r="AG11" s="33">
        <v>9</v>
      </c>
      <c r="AH11" s="139" t="s">
        <v>164</v>
      </c>
      <c r="AI11" s="138" t="s">
        <v>10</v>
      </c>
      <c r="AJ11" s="73" t="s">
        <v>155</v>
      </c>
      <c r="AK11" s="139" t="s">
        <v>85</v>
      </c>
      <c r="AL11" s="144" t="s">
        <v>150</v>
      </c>
      <c r="AM11" s="69" t="s">
        <v>43</v>
      </c>
      <c r="AN11" s="140" t="s">
        <v>176</v>
      </c>
      <c r="AO11" s="140" t="s">
        <v>130</v>
      </c>
      <c r="AP11" s="140" t="s">
        <v>42</v>
      </c>
    </row>
    <row r="12" spans="1:42" x14ac:dyDescent="0.25">
      <c r="A12" s="33">
        <v>9</v>
      </c>
      <c r="B12" s="66" t="s">
        <v>8</v>
      </c>
      <c r="C12" s="66" t="s">
        <v>129</v>
      </c>
      <c r="D12" s="138" t="s">
        <v>20</v>
      </c>
      <c r="E12" s="139" t="s">
        <v>164</v>
      </c>
      <c r="F12" s="138" t="s">
        <v>10</v>
      </c>
      <c r="G12" s="73" t="s">
        <v>155</v>
      </c>
      <c r="H12" s="73" t="s">
        <v>130</v>
      </c>
      <c r="I12" s="139" t="s">
        <v>12</v>
      </c>
      <c r="J12" s="139">
        <v>1</v>
      </c>
      <c r="K12" s="139" t="s">
        <v>85</v>
      </c>
      <c r="L12" s="144" t="s">
        <v>150</v>
      </c>
      <c r="M12" s="69" t="s">
        <v>43</v>
      </c>
      <c r="N12" s="140" t="s">
        <v>176</v>
      </c>
      <c r="O12" s="140" t="s">
        <v>130</v>
      </c>
      <c r="P12" s="139" t="s">
        <v>40</v>
      </c>
      <c r="Q12" s="140" t="s">
        <v>42</v>
      </c>
      <c r="R12" s="141" t="s">
        <v>125</v>
      </c>
      <c r="S12" s="32" t="s">
        <v>169</v>
      </c>
      <c r="T12" s="32"/>
      <c r="U12" s="43"/>
      <c r="V12" s="102">
        <f>ROW()</f>
        <v>12</v>
      </c>
      <c r="AG12" s="33">
        <v>10</v>
      </c>
      <c r="AH12" s="139" t="s">
        <v>165</v>
      </c>
      <c r="AI12" s="138" t="s">
        <v>145</v>
      </c>
      <c r="AJ12" s="73" t="s">
        <v>57</v>
      </c>
      <c r="AK12" s="139" t="s">
        <v>85</v>
      </c>
      <c r="AL12" s="69" t="s">
        <v>43</v>
      </c>
      <c r="AM12" s="69" t="s">
        <v>43</v>
      </c>
      <c r="AN12" s="140" t="s">
        <v>176</v>
      </c>
      <c r="AO12" s="140" t="s">
        <v>130</v>
      </c>
      <c r="AP12" s="140" t="s">
        <v>41</v>
      </c>
    </row>
    <row r="13" spans="1:42" x14ac:dyDescent="0.25">
      <c r="A13" s="33">
        <v>10</v>
      </c>
      <c r="B13" s="66" t="s">
        <v>50</v>
      </c>
      <c r="C13" s="66" t="s">
        <v>129</v>
      </c>
      <c r="D13" s="138" t="s">
        <v>21</v>
      </c>
      <c r="E13" s="139" t="s">
        <v>165</v>
      </c>
      <c r="F13" s="138" t="s">
        <v>145</v>
      </c>
      <c r="G13" s="73" t="s">
        <v>57</v>
      </c>
      <c r="H13" s="73" t="s">
        <v>130</v>
      </c>
      <c r="I13" s="139" t="s">
        <v>12</v>
      </c>
      <c r="J13" s="139">
        <v>1</v>
      </c>
      <c r="K13" s="139" t="s">
        <v>85</v>
      </c>
      <c r="L13" s="69" t="s">
        <v>43</v>
      </c>
      <c r="M13" s="69" t="s">
        <v>43</v>
      </c>
      <c r="N13" s="140" t="s">
        <v>176</v>
      </c>
      <c r="O13" s="140" t="s">
        <v>130</v>
      </c>
      <c r="P13" s="139" t="s">
        <v>40</v>
      </c>
      <c r="Q13" s="140" t="s">
        <v>41</v>
      </c>
      <c r="R13" s="141" t="s">
        <v>126</v>
      </c>
      <c r="S13" s="32"/>
      <c r="T13" s="32"/>
      <c r="U13" s="43"/>
      <c r="V13" s="102">
        <f>ROW()</f>
        <v>13</v>
      </c>
      <c r="AG13" s="33">
        <v>11</v>
      </c>
      <c r="AH13" s="139" t="s">
        <v>166</v>
      </c>
      <c r="AI13" s="138" t="s">
        <v>145</v>
      </c>
      <c r="AJ13" s="73" t="s">
        <v>57</v>
      </c>
      <c r="AK13" s="139" t="s">
        <v>85</v>
      </c>
      <c r="AL13" s="69" t="s">
        <v>150</v>
      </c>
      <c r="AM13" s="69" t="s">
        <v>154</v>
      </c>
      <c r="AN13" s="140" t="s">
        <v>174</v>
      </c>
      <c r="AO13" s="140" t="s">
        <v>130</v>
      </c>
      <c r="AP13" s="140" t="s">
        <v>42</v>
      </c>
    </row>
    <row r="14" spans="1:42" x14ac:dyDescent="0.25">
      <c r="A14" s="33">
        <v>11</v>
      </c>
      <c r="B14" s="66" t="s">
        <v>50</v>
      </c>
      <c r="C14" s="66" t="s">
        <v>129</v>
      </c>
      <c r="D14" s="138" t="s">
        <v>52</v>
      </c>
      <c r="E14" s="139" t="s">
        <v>166</v>
      </c>
      <c r="F14" s="138" t="s">
        <v>145</v>
      </c>
      <c r="G14" s="73" t="s">
        <v>57</v>
      </c>
      <c r="H14" s="73" t="s">
        <v>130</v>
      </c>
      <c r="I14" s="139" t="s">
        <v>12</v>
      </c>
      <c r="J14" s="139">
        <v>1</v>
      </c>
      <c r="K14" s="139" t="s">
        <v>85</v>
      </c>
      <c r="L14" s="69" t="s">
        <v>150</v>
      </c>
      <c r="M14" s="69" t="s">
        <v>154</v>
      </c>
      <c r="N14" s="140" t="s">
        <v>174</v>
      </c>
      <c r="O14" s="140" t="s">
        <v>130</v>
      </c>
      <c r="P14" s="139" t="s">
        <v>40</v>
      </c>
      <c r="Q14" s="140" t="s">
        <v>42</v>
      </c>
      <c r="R14" s="141" t="s">
        <v>126</v>
      </c>
      <c r="S14" s="32"/>
      <c r="T14" s="32"/>
      <c r="U14" s="43"/>
      <c r="V14" s="102">
        <f>ROW()</f>
        <v>14</v>
      </c>
      <c r="AG14" s="33">
        <v>12</v>
      </c>
      <c r="AH14" s="139" t="s">
        <v>167</v>
      </c>
      <c r="AI14" s="138" t="s">
        <v>58</v>
      </c>
      <c r="AJ14" s="76" t="s">
        <v>84</v>
      </c>
      <c r="AK14" s="139" t="s">
        <v>85</v>
      </c>
      <c r="AL14" s="69" t="s">
        <v>151</v>
      </c>
      <c r="AM14" s="69" t="s">
        <v>44</v>
      </c>
      <c r="AN14" s="140" t="s">
        <v>175</v>
      </c>
      <c r="AO14" s="140" t="s">
        <v>130</v>
      </c>
      <c r="AP14" s="140" t="s">
        <v>42</v>
      </c>
    </row>
    <row r="15" spans="1:42" x14ac:dyDescent="0.25">
      <c r="A15" s="33">
        <v>12</v>
      </c>
      <c r="B15" s="66" t="s">
        <v>51</v>
      </c>
      <c r="C15" s="66" t="s">
        <v>129</v>
      </c>
      <c r="D15" s="138" t="s">
        <v>53</v>
      </c>
      <c r="E15" s="139" t="s">
        <v>167</v>
      </c>
      <c r="F15" s="138" t="s">
        <v>58</v>
      </c>
      <c r="G15" s="76" t="s">
        <v>84</v>
      </c>
      <c r="H15" s="76" t="s">
        <v>130</v>
      </c>
      <c r="I15" s="139" t="s">
        <v>12</v>
      </c>
      <c r="J15" s="139">
        <v>1</v>
      </c>
      <c r="K15" s="139" t="s">
        <v>85</v>
      </c>
      <c r="L15" s="69" t="s">
        <v>151</v>
      </c>
      <c r="M15" s="69" t="s">
        <v>44</v>
      </c>
      <c r="N15" s="140" t="s">
        <v>175</v>
      </c>
      <c r="O15" s="140" t="s">
        <v>130</v>
      </c>
      <c r="P15" s="139" t="s">
        <v>40</v>
      </c>
      <c r="Q15" s="140" t="s">
        <v>42</v>
      </c>
      <c r="R15" s="141" t="s">
        <v>127</v>
      </c>
      <c r="S15" s="32"/>
      <c r="T15" s="32"/>
      <c r="U15" s="43"/>
      <c r="V15" s="102">
        <f>ROW()</f>
        <v>15</v>
      </c>
      <c r="AG15" s="33">
        <v>13</v>
      </c>
      <c r="AH15" s="139" t="s">
        <v>168</v>
      </c>
      <c r="AI15" s="138" t="s">
        <v>58</v>
      </c>
      <c r="AJ15" s="76" t="s">
        <v>59</v>
      </c>
      <c r="AK15" s="139" t="s">
        <v>85</v>
      </c>
      <c r="AL15" s="69" t="s">
        <v>152</v>
      </c>
      <c r="AM15" s="69" t="s">
        <v>44</v>
      </c>
      <c r="AN15" s="140" t="s">
        <v>176</v>
      </c>
      <c r="AO15" s="140" t="s">
        <v>130</v>
      </c>
      <c r="AP15" s="140" t="s">
        <v>42</v>
      </c>
    </row>
    <row r="16" spans="1:42" x14ac:dyDescent="0.25">
      <c r="A16" s="33">
        <v>13</v>
      </c>
      <c r="B16" s="66" t="s">
        <v>51</v>
      </c>
      <c r="C16" s="66" t="s">
        <v>129</v>
      </c>
      <c r="D16" s="138" t="s">
        <v>54</v>
      </c>
      <c r="E16" s="139" t="s">
        <v>168</v>
      </c>
      <c r="F16" s="138" t="s">
        <v>58</v>
      </c>
      <c r="G16" s="76" t="s">
        <v>59</v>
      </c>
      <c r="H16" s="76" t="s">
        <v>130</v>
      </c>
      <c r="I16" s="139" t="s">
        <v>12</v>
      </c>
      <c r="J16" s="139">
        <v>1</v>
      </c>
      <c r="K16" s="139" t="s">
        <v>85</v>
      </c>
      <c r="L16" s="69" t="s">
        <v>152</v>
      </c>
      <c r="M16" s="69" t="s">
        <v>44</v>
      </c>
      <c r="N16" s="140" t="s">
        <v>176</v>
      </c>
      <c r="O16" s="140" t="s">
        <v>130</v>
      </c>
      <c r="P16" s="139" t="s">
        <v>40</v>
      </c>
      <c r="Q16" s="140" t="s">
        <v>42</v>
      </c>
      <c r="R16" s="141" t="s">
        <v>128</v>
      </c>
      <c r="S16" s="32"/>
      <c r="T16" s="32"/>
      <c r="U16" s="43"/>
      <c r="V16" s="102">
        <f>ROW()</f>
        <v>16</v>
      </c>
      <c r="AG16" s="33"/>
      <c r="AH16" s="139"/>
      <c r="AI16" s="138"/>
      <c r="AJ16" s="76"/>
      <c r="AK16" s="139"/>
      <c r="AL16" s="69"/>
      <c r="AM16" s="69"/>
      <c r="AN16" s="140"/>
      <c r="AO16" s="140"/>
      <c r="AP16" s="140"/>
    </row>
    <row r="17" spans="1:4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AG17" s="33"/>
      <c r="AH17" s="67"/>
      <c r="AI17" s="68"/>
      <c r="AJ17" s="72"/>
      <c r="AK17" s="67"/>
      <c r="AL17" s="70"/>
      <c r="AM17" s="70"/>
      <c r="AN17" s="71"/>
      <c r="AO17" s="71"/>
      <c r="AP17" s="71"/>
    </row>
    <row r="18" spans="1:42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AG18" s="33"/>
      <c r="AH18" s="67"/>
      <c r="AI18" s="68"/>
      <c r="AJ18" s="69"/>
      <c r="AK18" s="67"/>
      <c r="AL18" s="70"/>
      <c r="AM18" s="70"/>
      <c r="AN18" s="71"/>
      <c r="AO18" s="71"/>
      <c r="AP18" s="71"/>
    </row>
    <row r="19" spans="1:4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AG19" s="33"/>
      <c r="AH19" s="67"/>
      <c r="AI19" s="68"/>
      <c r="AJ19" s="69"/>
      <c r="AK19" s="67"/>
      <c r="AL19" s="70"/>
      <c r="AM19" s="70"/>
      <c r="AN19" s="71"/>
      <c r="AO19" s="71"/>
      <c r="AP19" s="71"/>
    </row>
    <row r="20" spans="1:42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AG20" s="33"/>
      <c r="AH20" s="67"/>
      <c r="AI20" s="68"/>
      <c r="AJ20" s="69"/>
      <c r="AK20" s="67"/>
      <c r="AL20" s="70"/>
      <c r="AM20" s="70"/>
      <c r="AN20" s="71"/>
      <c r="AO20" s="71"/>
      <c r="AP20" s="71"/>
    </row>
    <row r="21" spans="1:42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AG21" s="33"/>
      <c r="AH21" s="67"/>
      <c r="AI21" s="68"/>
      <c r="AJ21" s="69"/>
      <c r="AK21" s="67"/>
      <c r="AL21" s="70"/>
      <c r="AM21" s="70"/>
      <c r="AN21" s="71"/>
      <c r="AO21" s="71"/>
      <c r="AP21" s="71"/>
    </row>
    <row r="22" spans="1:42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AG22" s="33"/>
      <c r="AH22" s="67"/>
      <c r="AI22" s="68"/>
      <c r="AJ22" s="69"/>
      <c r="AK22" s="67"/>
      <c r="AL22" s="70"/>
      <c r="AM22" s="70"/>
      <c r="AN22" s="71"/>
      <c r="AO22" s="71"/>
      <c r="AP22" s="71"/>
    </row>
    <row r="23" spans="1:42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AG23" s="33"/>
      <c r="AH23" s="67"/>
      <c r="AI23" s="68"/>
      <c r="AJ23" s="69"/>
      <c r="AK23" s="67"/>
      <c r="AL23" s="70"/>
      <c r="AM23" s="70"/>
      <c r="AN23" s="71"/>
      <c r="AO23" s="71"/>
      <c r="AP23" s="71"/>
    </row>
    <row r="24" spans="1:42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AG24" s="33"/>
      <c r="AH24" s="67"/>
      <c r="AI24" s="68"/>
      <c r="AJ24" s="69"/>
      <c r="AK24" s="67"/>
      <c r="AL24" s="70"/>
      <c r="AM24" s="70"/>
      <c r="AN24" s="71"/>
      <c r="AO24" s="71"/>
      <c r="AP24" s="71"/>
    </row>
    <row r="25" spans="1:42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AG25" s="33"/>
      <c r="AH25" s="67"/>
      <c r="AI25" s="68"/>
      <c r="AJ25" s="72"/>
      <c r="AK25" s="67"/>
      <c r="AL25" s="70"/>
      <c r="AM25" s="70"/>
      <c r="AN25" s="71"/>
      <c r="AO25" s="71"/>
      <c r="AP25" s="71"/>
    </row>
    <row r="26" spans="1:42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AG26" s="33"/>
      <c r="AH26" s="67"/>
      <c r="AI26" s="68"/>
      <c r="AJ26" s="69"/>
      <c r="AK26" s="67"/>
      <c r="AL26" s="70"/>
      <c r="AM26" s="70"/>
      <c r="AN26" s="71"/>
      <c r="AO26" s="71"/>
      <c r="AP26" s="71"/>
    </row>
    <row r="27" spans="1:4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AG27" s="33"/>
      <c r="AH27" s="67"/>
      <c r="AI27" s="68"/>
      <c r="AJ27" s="69"/>
      <c r="AK27" s="67"/>
      <c r="AL27" s="70"/>
      <c r="AM27" s="70"/>
      <c r="AN27" s="71"/>
      <c r="AO27" s="71"/>
      <c r="AP27" s="71"/>
    </row>
    <row r="28" spans="1:4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AG28" s="33"/>
      <c r="AH28" s="67"/>
      <c r="AI28" s="68"/>
      <c r="AJ28" s="73"/>
      <c r="AK28" s="67"/>
      <c r="AL28" s="74"/>
      <c r="AM28" s="70"/>
      <c r="AN28" s="71"/>
      <c r="AO28" s="71"/>
      <c r="AP28" s="71"/>
    </row>
    <row r="29" spans="1:4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AG29" s="33"/>
      <c r="AH29" s="67"/>
      <c r="AI29" s="68"/>
      <c r="AJ29" s="73"/>
      <c r="AK29" s="67"/>
      <c r="AL29" s="70"/>
      <c r="AM29" s="70"/>
      <c r="AN29" s="71"/>
      <c r="AO29" s="71"/>
      <c r="AP29" s="71"/>
    </row>
    <row r="30" spans="1:4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AG30" s="33"/>
      <c r="AH30" s="67"/>
      <c r="AI30" s="68"/>
      <c r="AJ30" s="73"/>
      <c r="AK30" s="67"/>
      <c r="AL30" s="70"/>
      <c r="AM30" s="70"/>
      <c r="AN30" s="71"/>
      <c r="AO30" s="71"/>
      <c r="AP30" s="71"/>
    </row>
    <row r="31" spans="1:4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AG31" s="33"/>
      <c r="AH31" s="67"/>
      <c r="AI31" s="68"/>
      <c r="AJ31" s="73"/>
      <c r="AK31" s="67"/>
      <c r="AL31" s="70"/>
      <c r="AM31" s="70"/>
      <c r="AN31" s="71"/>
      <c r="AO31" s="71"/>
      <c r="AP31" s="71"/>
    </row>
    <row r="32" spans="1:4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AG32" s="33"/>
      <c r="AH32" s="67"/>
      <c r="AI32" s="68"/>
      <c r="AJ32" s="73"/>
      <c r="AK32" s="67"/>
      <c r="AL32" s="70"/>
      <c r="AM32" s="70"/>
      <c r="AN32" s="71"/>
      <c r="AO32" s="71"/>
      <c r="AP32" s="71"/>
    </row>
    <row r="33" spans="1:42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AG33" s="33"/>
      <c r="AH33" s="67"/>
      <c r="AI33" s="68"/>
      <c r="AJ33" s="73"/>
      <c r="AK33" s="67"/>
      <c r="AL33" s="70"/>
      <c r="AM33" s="70"/>
      <c r="AN33" s="71"/>
      <c r="AO33" s="71"/>
      <c r="AP33" s="71"/>
    </row>
    <row r="34" spans="1:42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AG34" s="33"/>
      <c r="AH34" s="67"/>
      <c r="AI34" s="68"/>
      <c r="AJ34" s="73"/>
      <c r="AK34" s="67"/>
      <c r="AL34" s="70"/>
      <c r="AM34" s="70"/>
      <c r="AN34" s="71"/>
      <c r="AO34" s="71"/>
      <c r="AP34" s="71"/>
    </row>
    <row r="35" spans="1:42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G35" s="33"/>
      <c r="AH35" s="67"/>
      <c r="AI35" s="68"/>
      <c r="AJ35" s="73"/>
      <c r="AK35" s="67"/>
      <c r="AL35" s="70"/>
      <c r="AM35" s="70"/>
      <c r="AN35" s="71"/>
      <c r="AO35" s="71"/>
      <c r="AP35" s="71"/>
    </row>
    <row r="36" spans="1:42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AG36" s="33"/>
      <c r="AH36" s="67"/>
      <c r="AI36" s="68"/>
      <c r="AJ36" s="73"/>
      <c r="AK36" s="67"/>
      <c r="AL36" s="70"/>
      <c r="AM36" s="70"/>
      <c r="AN36" s="71"/>
      <c r="AO36" s="71"/>
      <c r="AP36" s="71"/>
    </row>
    <row r="37" spans="1:42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AG37" s="33"/>
      <c r="AH37" s="67"/>
      <c r="AI37" s="68"/>
      <c r="AJ37" s="73"/>
      <c r="AK37" s="67"/>
      <c r="AL37" s="70"/>
      <c r="AM37" s="70"/>
      <c r="AN37" s="71"/>
      <c r="AO37" s="71"/>
      <c r="AP37" s="71"/>
    </row>
    <row r="38" spans="1:42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AG38" s="33"/>
      <c r="AH38" s="67"/>
      <c r="AI38" s="68"/>
      <c r="AJ38" s="73"/>
      <c r="AK38" s="67"/>
      <c r="AL38" s="70"/>
      <c r="AM38" s="70"/>
      <c r="AN38" s="70"/>
      <c r="AO38" s="71"/>
      <c r="AP38" s="71"/>
    </row>
    <row r="39" spans="1:42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AG39" s="33"/>
      <c r="AH39" s="67"/>
      <c r="AI39" s="68"/>
      <c r="AJ39" s="73"/>
      <c r="AK39" s="67"/>
      <c r="AL39" s="70"/>
      <c r="AM39" s="70"/>
      <c r="AN39" s="70"/>
      <c r="AO39" s="71"/>
      <c r="AP39" s="71"/>
    </row>
    <row r="40" spans="1:42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AG40" s="33"/>
      <c r="AH40" s="67"/>
      <c r="AI40" s="68"/>
      <c r="AJ40" s="75"/>
      <c r="AK40" s="67"/>
      <c r="AL40" s="70"/>
      <c r="AM40" s="70"/>
      <c r="AN40" s="71"/>
      <c r="AO40" s="71"/>
      <c r="AP40" s="71"/>
    </row>
    <row r="41" spans="1:42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G41" s="33"/>
      <c r="AH41" s="67"/>
      <c r="AI41" s="68"/>
      <c r="AJ41" s="76"/>
      <c r="AK41" s="67"/>
      <c r="AL41" s="70"/>
      <c r="AM41" s="70"/>
      <c r="AN41" s="71"/>
      <c r="AO41" s="71"/>
      <c r="AP41" s="71"/>
    </row>
    <row r="42" spans="1:42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AG42" s="33"/>
      <c r="AH42" s="67"/>
      <c r="AI42" s="68"/>
      <c r="AJ42" s="76"/>
      <c r="AK42" s="67"/>
      <c r="AL42" s="70"/>
      <c r="AM42" s="70"/>
      <c r="AN42" s="71"/>
      <c r="AO42" s="71"/>
      <c r="AP42" s="71"/>
    </row>
    <row r="43" spans="1:42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AG43" s="33"/>
      <c r="AH43" s="67"/>
      <c r="AI43" s="68"/>
      <c r="AJ43" s="76"/>
      <c r="AK43" s="67"/>
      <c r="AL43" s="70"/>
      <c r="AM43" s="70"/>
      <c r="AN43" s="71"/>
      <c r="AO43" s="71"/>
      <c r="AP43" s="71"/>
    </row>
    <row r="44" spans="1:42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AG44" s="33"/>
      <c r="AH44" s="67"/>
      <c r="AI44" s="68"/>
      <c r="AJ44" s="77"/>
      <c r="AK44" s="67"/>
      <c r="AL44" s="70"/>
      <c r="AM44" s="70"/>
      <c r="AN44" s="71"/>
      <c r="AO44" s="71"/>
      <c r="AP44" s="71"/>
    </row>
    <row r="45" spans="1:42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AG45" s="33"/>
      <c r="AH45" s="67"/>
      <c r="AI45" s="68"/>
      <c r="AJ45" s="76"/>
      <c r="AK45" s="67"/>
      <c r="AL45" s="70"/>
      <c r="AM45" s="70"/>
      <c r="AN45" s="71"/>
      <c r="AO45" s="71"/>
      <c r="AP45" s="71"/>
    </row>
    <row r="46" spans="1:42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AG46" s="33"/>
      <c r="AH46" s="67"/>
      <c r="AI46" s="68"/>
      <c r="AJ46" s="76"/>
      <c r="AK46" s="67"/>
      <c r="AL46" s="70"/>
      <c r="AM46" s="70"/>
      <c r="AN46" s="71"/>
      <c r="AO46" s="70"/>
      <c r="AP46" s="71"/>
    </row>
    <row r="47" spans="1:42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AG47" s="33"/>
      <c r="AH47" s="67"/>
      <c r="AI47" s="68"/>
      <c r="AJ47" s="77"/>
      <c r="AK47" s="67"/>
      <c r="AL47" s="70"/>
      <c r="AM47" s="70"/>
      <c r="AN47" s="71"/>
      <c r="AO47" s="70"/>
      <c r="AP47" s="71"/>
    </row>
    <row r="48" spans="1:42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AG48" s="33"/>
      <c r="AH48" s="67"/>
      <c r="AI48" s="68"/>
      <c r="AJ48" s="77"/>
      <c r="AK48" s="67"/>
      <c r="AL48" s="70"/>
      <c r="AM48" s="70"/>
      <c r="AN48" s="71"/>
      <c r="AO48" s="70"/>
      <c r="AP48" s="71"/>
    </row>
    <row r="49" spans="1:42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AG49" s="33"/>
      <c r="AH49" s="67"/>
      <c r="AI49" s="68"/>
      <c r="AJ49" s="77"/>
      <c r="AK49" s="67"/>
      <c r="AL49" s="70"/>
      <c r="AM49" s="70"/>
      <c r="AN49" s="71"/>
      <c r="AO49" s="70"/>
      <c r="AP49" s="71"/>
    </row>
    <row r="50" spans="1:42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AG50" s="33"/>
      <c r="AH50" s="67"/>
      <c r="AI50" s="68"/>
      <c r="AJ50" s="77"/>
      <c r="AK50" s="67"/>
      <c r="AL50" s="70"/>
      <c r="AM50" s="70"/>
      <c r="AN50" s="71"/>
      <c r="AO50" s="70"/>
      <c r="AP50" s="71"/>
    </row>
    <row r="51" spans="1:42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AG51" s="33"/>
      <c r="AH51" s="67"/>
      <c r="AI51" s="68"/>
      <c r="AJ51" s="77"/>
      <c r="AK51" s="67"/>
      <c r="AL51" s="70"/>
      <c r="AM51" s="70"/>
      <c r="AN51" s="71"/>
      <c r="AO51" s="70"/>
      <c r="AP51" s="71"/>
    </row>
    <row r="52" spans="1:42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AG52" s="33"/>
      <c r="AH52" s="67"/>
      <c r="AI52" s="68"/>
      <c r="AJ52" s="76"/>
      <c r="AK52" s="67"/>
      <c r="AL52" s="70"/>
      <c r="AM52" s="70"/>
      <c r="AN52" s="71"/>
      <c r="AO52" s="71"/>
      <c r="AP52" s="71"/>
    </row>
    <row r="53" spans="1:4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AG53" s="33"/>
      <c r="AH53" s="67"/>
      <c r="AI53" s="68"/>
      <c r="AJ53" s="76"/>
      <c r="AK53" s="67"/>
      <c r="AL53" s="70"/>
      <c r="AM53" s="70"/>
      <c r="AN53" s="71"/>
      <c r="AO53" s="71"/>
      <c r="AP53" s="71"/>
    </row>
    <row r="54" spans="1:4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AG54" s="33"/>
      <c r="AH54" s="67"/>
      <c r="AI54" s="68"/>
      <c r="AJ54" s="76"/>
      <c r="AK54" s="67"/>
      <c r="AL54" s="70"/>
      <c r="AM54" s="70"/>
      <c r="AN54" s="71"/>
      <c r="AO54" s="71"/>
      <c r="AP54" s="71"/>
    </row>
    <row r="55" spans="1:4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AG55" s="33"/>
      <c r="AH55" s="67"/>
      <c r="AI55" s="68"/>
      <c r="AJ55" s="76"/>
      <c r="AK55" s="67"/>
      <c r="AL55" s="70"/>
      <c r="AM55" s="70"/>
      <c r="AN55" s="71"/>
      <c r="AO55" s="71"/>
      <c r="AP55" s="71"/>
    </row>
    <row r="56" spans="1:4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AG56" s="33"/>
      <c r="AH56" s="67"/>
      <c r="AI56" s="68"/>
      <c r="AJ56" s="77"/>
      <c r="AK56" s="67"/>
      <c r="AL56" s="70"/>
      <c r="AM56" s="70"/>
      <c r="AN56" s="71"/>
      <c r="AO56" s="71"/>
      <c r="AP56" s="71"/>
    </row>
    <row r="57" spans="1:4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AG57" s="33"/>
      <c r="AH57" s="67"/>
      <c r="AI57" s="68"/>
      <c r="AJ57" s="77"/>
      <c r="AK57" s="67"/>
      <c r="AL57" s="70"/>
      <c r="AM57" s="70"/>
      <c r="AN57" s="71"/>
      <c r="AO57" s="71"/>
      <c r="AP57" s="71"/>
    </row>
    <row r="58" spans="1:4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AG58" s="33"/>
      <c r="AH58" s="67"/>
      <c r="AI58" s="68"/>
      <c r="AJ58" s="78"/>
      <c r="AK58" s="67"/>
      <c r="AL58" s="70"/>
      <c r="AM58" s="70"/>
      <c r="AN58" s="71"/>
      <c r="AO58" s="71"/>
      <c r="AP58" s="71"/>
    </row>
    <row r="59" spans="1:4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AG59" s="33"/>
      <c r="AH59" s="67"/>
      <c r="AI59" s="68"/>
      <c r="AJ59" s="76"/>
      <c r="AK59" s="67"/>
      <c r="AL59" s="70"/>
      <c r="AM59" s="70"/>
      <c r="AN59" s="71"/>
      <c r="AO59" s="71"/>
      <c r="AP59" s="71"/>
    </row>
    <row r="60" spans="1:4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AG60" s="33"/>
      <c r="AH60" s="67"/>
      <c r="AI60" s="68"/>
      <c r="AJ60" s="77"/>
      <c r="AK60" s="67"/>
      <c r="AL60" s="70"/>
      <c r="AM60" s="70"/>
      <c r="AN60" s="71"/>
      <c r="AO60" s="71"/>
      <c r="AP60" s="71"/>
    </row>
    <row r="61" spans="1:4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AG61" s="33"/>
      <c r="AH61" s="67"/>
      <c r="AI61" s="68"/>
      <c r="AJ61" s="77"/>
      <c r="AK61" s="67"/>
      <c r="AL61" s="70"/>
      <c r="AM61" s="70"/>
      <c r="AN61" s="71"/>
      <c r="AO61" s="71"/>
      <c r="AP61" s="71"/>
    </row>
    <row r="62" spans="1:4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AG62" s="33"/>
      <c r="AH62" s="105"/>
      <c r="AI62" s="106"/>
      <c r="AJ62" s="107"/>
      <c r="AK62" s="108"/>
      <c r="AL62" s="109"/>
      <c r="AM62" s="109"/>
      <c r="AN62" s="110"/>
      <c r="AO62" s="110"/>
      <c r="AP62" s="110"/>
    </row>
    <row r="63" spans="1:4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AG63" s="33"/>
      <c r="AH63" s="105"/>
      <c r="AI63" s="106"/>
      <c r="AJ63" s="107"/>
      <c r="AK63" s="108"/>
      <c r="AL63" s="109"/>
      <c r="AM63" s="109"/>
      <c r="AN63" s="110"/>
      <c r="AO63" s="110"/>
      <c r="AP63" s="110"/>
    </row>
    <row r="64" spans="1:4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AG64" s="33"/>
      <c r="AH64" s="105"/>
      <c r="AI64" s="106"/>
      <c r="AJ64" s="107"/>
      <c r="AK64" s="108"/>
      <c r="AL64" s="109"/>
      <c r="AM64" s="109"/>
      <c r="AN64" s="110"/>
      <c r="AO64" s="110"/>
      <c r="AP64" s="110"/>
    </row>
    <row r="65" spans="1:4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AG65" s="33"/>
      <c r="AH65" s="105"/>
      <c r="AI65" s="106"/>
      <c r="AJ65" s="107"/>
      <c r="AK65" s="108"/>
      <c r="AL65" s="109"/>
      <c r="AM65" s="109"/>
      <c r="AN65" s="110"/>
      <c r="AO65" s="110"/>
      <c r="AP65" s="110"/>
    </row>
    <row r="66" spans="1:4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AG66" s="33"/>
      <c r="AH66" s="105"/>
      <c r="AI66" s="106"/>
      <c r="AJ66" s="107"/>
      <c r="AK66" s="108"/>
      <c r="AL66" s="109"/>
      <c r="AM66" s="109"/>
      <c r="AN66" s="110"/>
      <c r="AO66" s="110"/>
      <c r="AP66" s="110"/>
    </row>
    <row r="67" spans="1:4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AG67" s="33"/>
      <c r="AH67" s="105"/>
      <c r="AI67" s="106"/>
      <c r="AJ67" s="107"/>
      <c r="AK67" s="108"/>
      <c r="AL67" s="109"/>
      <c r="AM67" s="109"/>
      <c r="AN67" s="110"/>
      <c r="AO67" s="110"/>
      <c r="AP67" s="110"/>
    </row>
    <row r="68" spans="1:4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AG68" s="33"/>
      <c r="AH68" s="105"/>
      <c r="AI68" s="106"/>
      <c r="AJ68" s="107"/>
      <c r="AK68" s="108"/>
      <c r="AL68" s="109"/>
      <c r="AM68" s="109"/>
      <c r="AN68" s="110"/>
      <c r="AO68" s="110"/>
      <c r="AP68" s="110"/>
    </row>
    <row r="69" spans="1:4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AG69" s="33"/>
      <c r="AH69" s="105"/>
      <c r="AI69" s="106"/>
      <c r="AJ69" s="107"/>
      <c r="AK69" s="108"/>
      <c r="AL69" s="109"/>
      <c r="AM69" s="109"/>
      <c r="AN69" s="110"/>
      <c r="AO69" s="110"/>
      <c r="AP69" s="110"/>
    </row>
    <row r="70" spans="1:4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AG70" s="33"/>
      <c r="AH70" s="105"/>
      <c r="AI70" s="106"/>
      <c r="AJ70" s="107"/>
      <c r="AK70" s="108"/>
      <c r="AL70" s="109"/>
      <c r="AM70" s="109"/>
      <c r="AN70" s="110"/>
      <c r="AO70" s="110"/>
      <c r="AP70" s="110"/>
    </row>
    <row r="71" spans="1:4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AG71" s="33"/>
      <c r="AH71" s="105"/>
      <c r="AI71" s="106"/>
      <c r="AJ71" s="107"/>
      <c r="AK71" s="108"/>
      <c r="AL71" s="109"/>
      <c r="AM71" s="109"/>
      <c r="AN71" s="110"/>
      <c r="AO71" s="110"/>
      <c r="AP71" s="110"/>
    </row>
    <row r="72" spans="1:4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AG72" s="33"/>
      <c r="AH72" s="105"/>
      <c r="AI72" s="106"/>
      <c r="AJ72" s="107"/>
      <c r="AK72" s="108"/>
      <c r="AL72" s="109"/>
      <c r="AM72" s="109"/>
      <c r="AN72" s="110"/>
      <c r="AO72" s="110"/>
      <c r="AP72" s="110"/>
    </row>
    <row r="73" spans="1:4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AG73" s="33"/>
      <c r="AH73" s="105"/>
      <c r="AI73" s="106"/>
      <c r="AJ73" s="107"/>
      <c r="AK73" s="108"/>
      <c r="AL73" s="109"/>
      <c r="AM73" s="109"/>
      <c r="AN73" s="110"/>
      <c r="AO73" s="110"/>
      <c r="AP73" s="110"/>
    </row>
    <row r="74" spans="1:4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AG74" s="33"/>
      <c r="AH74" s="105"/>
      <c r="AI74" s="106"/>
      <c r="AJ74" s="107"/>
      <c r="AK74" s="108"/>
      <c r="AL74" s="109"/>
      <c r="AM74" s="109"/>
      <c r="AN74" s="110"/>
      <c r="AO74" s="110"/>
      <c r="AP74" s="111"/>
    </row>
    <row r="75" spans="1:4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AG75" s="33"/>
      <c r="AH75" s="105"/>
      <c r="AI75" s="106"/>
      <c r="AJ75" s="107"/>
      <c r="AK75" s="108"/>
      <c r="AL75" s="109"/>
      <c r="AM75" s="109"/>
      <c r="AN75" s="110"/>
      <c r="AO75" s="110"/>
      <c r="AP75" s="111"/>
    </row>
    <row r="76" spans="1:4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AG76" s="33"/>
      <c r="AH76" s="105"/>
      <c r="AI76" s="106"/>
      <c r="AJ76" s="112"/>
      <c r="AK76" s="108"/>
      <c r="AL76" s="109"/>
      <c r="AM76" s="109"/>
      <c r="AN76" s="110"/>
      <c r="AO76" s="110"/>
      <c r="AP76" s="111"/>
    </row>
    <row r="77" spans="1:4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AG77" s="33"/>
      <c r="AH77" s="105"/>
      <c r="AI77" s="106"/>
      <c r="AJ77" s="113"/>
      <c r="AK77" s="108"/>
      <c r="AL77" s="109"/>
      <c r="AM77" s="109"/>
      <c r="AN77" s="110"/>
      <c r="AO77" s="109"/>
      <c r="AP77" s="111"/>
    </row>
    <row r="78" spans="1:4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AG78" s="33"/>
      <c r="AH78" s="105"/>
      <c r="AI78" s="106"/>
      <c r="AJ78" s="107"/>
      <c r="AK78" s="108"/>
      <c r="AL78" s="109"/>
      <c r="AM78" s="109"/>
      <c r="AN78" s="110"/>
      <c r="AO78" s="110"/>
      <c r="AP78" s="110"/>
    </row>
    <row r="79" spans="1:4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AG79" s="33"/>
      <c r="AH79" s="105"/>
      <c r="AI79" s="106"/>
      <c r="AJ79" s="107"/>
      <c r="AK79" s="108"/>
      <c r="AL79" s="109"/>
      <c r="AM79" s="109"/>
      <c r="AN79" s="110"/>
      <c r="AO79" s="110"/>
      <c r="AP79" s="110"/>
    </row>
    <row r="80" spans="1:4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AG80" s="33"/>
      <c r="AH80" s="105"/>
      <c r="AI80" s="106"/>
      <c r="AJ80" s="107"/>
      <c r="AK80" s="108"/>
      <c r="AL80" s="114"/>
      <c r="AM80" s="109"/>
      <c r="AN80" s="110"/>
      <c r="AO80" s="110"/>
      <c r="AP80" s="110"/>
    </row>
    <row r="81" spans="1:42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AG81" s="33"/>
      <c r="AH81" s="105"/>
      <c r="AI81" s="106"/>
      <c r="AJ81" s="107"/>
      <c r="AK81" s="108"/>
      <c r="AL81" s="109"/>
      <c r="AM81" s="109"/>
      <c r="AN81" s="110"/>
      <c r="AO81" s="110"/>
      <c r="AP81" s="110"/>
    </row>
    <row r="82" spans="1:42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AG82" s="33"/>
      <c r="AH82" s="105"/>
      <c r="AI82" s="106"/>
      <c r="AJ82" s="107"/>
      <c r="AK82" s="108"/>
      <c r="AL82" s="109"/>
      <c r="AM82" s="109"/>
      <c r="AN82" s="110"/>
      <c r="AO82" s="110"/>
      <c r="AP82" s="110"/>
    </row>
    <row r="83" spans="1:42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AG83" s="33"/>
      <c r="AH83" s="105"/>
      <c r="AI83" s="106"/>
      <c r="AJ83" s="107"/>
      <c r="AK83" s="108"/>
      <c r="AL83" s="109"/>
      <c r="AM83" s="109"/>
      <c r="AN83" s="110"/>
      <c r="AO83" s="110"/>
      <c r="AP83" s="110"/>
    </row>
    <row r="84" spans="1:42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AG84" s="33"/>
      <c r="AH84" s="105"/>
      <c r="AI84" s="106"/>
      <c r="AJ84" s="107"/>
      <c r="AK84" s="108"/>
      <c r="AL84" s="109"/>
      <c r="AM84" s="109"/>
      <c r="AN84" s="110"/>
      <c r="AO84" s="110"/>
      <c r="AP84" s="110"/>
    </row>
    <row r="85" spans="1:42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AG85" s="33"/>
      <c r="AH85" s="105"/>
      <c r="AI85" s="106"/>
      <c r="AJ85" s="107"/>
      <c r="AK85" s="108"/>
      <c r="AL85" s="109"/>
      <c r="AM85" s="109"/>
      <c r="AN85" s="110"/>
      <c r="AO85" s="110"/>
      <c r="AP85" s="110"/>
    </row>
    <row r="86" spans="1:42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AG86" s="33"/>
      <c r="AH86" s="105"/>
      <c r="AI86" s="106"/>
      <c r="AJ86" s="107"/>
      <c r="AK86" s="108"/>
      <c r="AL86" s="109"/>
      <c r="AM86" s="109"/>
      <c r="AN86" s="110"/>
      <c r="AO86" s="110"/>
      <c r="AP86" s="110"/>
    </row>
    <row r="87" spans="1:42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AG87" s="33"/>
      <c r="AH87" s="105"/>
      <c r="AI87" s="106"/>
      <c r="AJ87" s="107"/>
      <c r="AK87" s="108"/>
      <c r="AL87" s="115"/>
      <c r="AM87" s="109"/>
      <c r="AN87" s="110"/>
      <c r="AO87" s="110"/>
      <c r="AP87" s="110"/>
    </row>
    <row r="88" spans="1:42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AG88" s="33"/>
      <c r="AH88" s="105"/>
      <c r="AI88" s="106"/>
      <c r="AJ88" s="107"/>
      <c r="AK88" s="108"/>
      <c r="AL88" s="114"/>
      <c r="AM88" s="109"/>
      <c r="AN88" s="110"/>
      <c r="AO88" s="110"/>
      <c r="AP88" s="110"/>
    </row>
    <row r="89" spans="1:42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AG89" s="33"/>
      <c r="AH89" s="105"/>
      <c r="AI89" s="106"/>
      <c r="AJ89" s="107"/>
      <c r="AK89" s="108"/>
      <c r="AL89" s="116"/>
      <c r="AM89" s="109"/>
      <c r="AN89" s="110"/>
      <c r="AO89" s="110"/>
      <c r="AP89" s="110"/>
    </row>
    <row r="90" spans="1:4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AG90" s="33"/>
      <c r="AH90" s="105"/>
      <c r="AI90" s="106"/>
      <c r="AJ90" s="112"/>
      <c r="AK90" s="108"/>
      <c r="AL90" s="109"/>
      <c r="AM90" s="109"/>
      <c r="AN90" s="110"/>
      <c r="AO90" s="110"/>
      <c r="AP90" s="111"/>
    </row>
    <row r="91" spans="1:4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AG91" s="33"/>
      <c r="AH91" s="105"/>
      <c r="AI91" s="108"/>
      <c r="AJ91" s="117"/>
      <c r="AK91" s="108"/>
      <c r="AL91" s="109"/>
      <c r="AM91" s="109"/>
      <c r="AN91" s="110"/>
      <c r="AO91" s="110"/>
      <c r="AP91" s="110"/>
    </row>
    <row r="92" spans="1:4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AG92" s="33"/>
      <c r="AH92" s="105"/>
      <c r="AI92" s="108"/>
      <c r="AJ92" s="117"/>
      <c r="AK92" s="108"/>
      <c r="AL92" s="109"/>
      <c r="AM92" s="109"/>
      <c r="AN92" s="110"/>
      <c r="AO92" s="110"/>
      <c r="AP92" s="110"/>
    </row>
    <row r="93" spans="1:4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AG93" s="33"/>
      <c r="AH93" s="105"/>
      <c r="AI93" s="108"/>
      <c r="AJ93" s="118"/>
      <c r="AK93" s="108"/>
      <c r="AL93" s="109"/>
      <c r="AM93" s="109"/>
      <c r="AN93" s="110"/>
      <c r="AO93" s="110"/>
      <c r="AP93" s="110"/>
    </row>
    <row r="94" spans="1:4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AG94" s="33"/>
      <c r="AH94" s="105"/>
      <c r="AI94" s="108"/>
      <c r="AJ94" s="119"/>
      <c r="AK94" s="108"/>
      <c r="AL94" s="109"/>
      <c r="AM94" s="109"/>
      <c r="AN94" s="110"/>
      <c r="AO94" s="110"/>
      <c r="AP94" s="110"/>
    </row>
    <row r="95" spans="1:4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AG95" s="33"/>
      <c r="AH95" s="105"/>
      <c r="AI95" s="108"/>
      <c r="AJ95" s="119"/>
      <c r="AK95" s="108"/>
      <c r="AL95" s="109"/>
      <c r="AM95" s="109"/>
      <c r="AN95" s="120"/>
      <c r="AO95" s="109"/>
      <c r="AP95" s="110"/>
    </row>
    <row r="96" spans="1:4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AG96" s="33"/>
      <c r="AH96" s="105"/>
      <c r="AI96" s="108"/>
      <c r="AJ96" s="119"/>
      <c r="AK96" s="108"/>
      <c r="AL96" s="109"/>
      <c r="AM96" s="109"/>
      <c r="AN96" s="110"/>
      <c r="AO96" s="109"/>
      <c r="AP96" s="110"/>
    </row>
    <row r="97" spans="1:4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AG97" s="33"/>
      <c r="AH97" s="105"/>
      <c r="AI97" s="108"/>
      <c r="AJ97" s="119"/>
      <c r="AK97" s="108"/>
      <c r="AL97" s="109"/>
      <c r="AM97" s="109"/>
      <c r="AN97" s="110"/>
      <c r="AO97" s="109"/>
      <c r="AP97" s="110"/>
    </row>
    <row r="98" spans="1:4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AG98" s="33"/>
      <c r="AH98" s="105"/>
      <c r="AI98" s="108"/>
      <c r="AJ98" s="119"/>
      <c r="AK98" s="108"/>
      <c r="AL98" s="109"/>
      <c r="AM98" s="109"/>
      <c r="AN98" s="110"/>
      <c r="AO98" s="109"/>
      <c r="AP98" s="110"/>
    </row>
    <row r="99" spans="1:4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AG99" s="33"/>
      <c r="AH99" s="105"/>
      <c r="AI99" s="108"/>
      <c r="AJ99" s="121"/>
      <c r="AK99" s="108"/>
      <c r="AL99" s="109"/>
      <c r="AM99" s="109"/>
      <c r="AN99" s="110"/>
      <c r="AO99" s="109"/>
      <c r="AP99" s="110"/>
    </row>
    <row r="100" spans="1:4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AG100" s="33"/>
      <c r="AH100" s="105"/>
      <c r="AI100" s="108"/>
      <c r="AJ100" s="119"/>
      <c r="AK100" s="108"/>
      <c r="AL100" s="109"/>
      <c r="AM100" s="109"/>
      <c r="AN100" s="109"/>
      <c r="AO100" s="109"/>
      <c r="AP100" s="110"/>
    </row>
    <row r="101" spans="1:4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AG101" s="33"/>
      <c r="AH101" s="105"/>
      <c r="AI101" s="108"/>
      <c r="AJ101" s="119"/>
      <c r="AK101" s="108"/>
      <c r="AL101" s="109"/>
      <c r="AM101" s="109"/>
      <c r="AN101" s="110"/>
      <c r="AO101" s="122"/>
      <c r="AP101" s="110"/>
    </row>
    <row r="102" spans="1:4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AG102" s="33"/>
      <c r="AH102" s="105"/>
      <c r="AI102" s="108"/>
      <c r="AJ102" s="119"/>
      <c r="AK102" s="108"/>
      <c r="AL102" s="109"/>
      <c r="AM102" s="109"/>
      <c r="AN102" s="110"/>
      <c r="AO102" s="110"/>
      <c r="AP102" s="110"/>
    </row>
    <row r="103" spans="1:4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AG103" s="33"/>
      <c r="AH103" s="105"/>
      <c r="AI103" s="108"/>
      <c r="AJ103" s="119"/>
      <c r="AK103" s="108"/>
      <c r="AL103" s="109"/>
      <c r="AM103" s="109"/>
      <c r="AN103" s="110"/>
      <c r="AO103" s="110"/>
      <c r="AP103" s="110"/>
    </row>
    <row r="104" spans="1:4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AG104" s="33"/>
      <c r="AH104" s="105"/>
      <c r="AI104" s="108"/>
      <c r="AJ104" s="119"/>
      <c r="AK104" s="108"/>
      <c r="AL104" s="109"/>
      <c r="AM104" s="109"/>
      <c r="AN104" s="110"/>
      <c r="AO104" s="110"/>
      <c r="AP104" s="110"/>
    </row>
    <row r="105" spans="1:4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AG105" s="33"/>
      <c r="AH105" s="105"/>
      <c r="AI105" s="108"/>
      <c r="AJ105" s="123"/>
      <c r="AK105" s="108"/>
      <c r="AL105" s="109"/>
      <c r="AM105" s="109"/>
      <c r="AN105" s="110"/>
      <c r="AO105" s="110"/>
      <c r="AP105" s="110"/>
    </row>
    <row r="106" spans="1:4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AG106" s="33"/>
      <c r="AH106" s="105"/>
      <c r="AI106" s="108"/>
      <c r="AJ106" s="123"/>
      <c r="AK106" s="108"/>
      <c r="AL106" s="109"/>
      <c r="AM106" s="109"/>
      <c r="AN106" s="110"/>
      <c r="AO106" s="122"/>
      <c r="AP106" s="110"/>
    </row>
    <row r="107" spans="1:4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AG107" s="33"/>
      <c r="AH107" s="105"/>
      <c r="AI107" s="108"/>
      <c r="AJ107" s="123"/>
      <c r="AK107" s="108"/>
      <c r="AL107" s="109"/>
      <c r="AM107" s="109"/>
      <c r="AN107" s="110"/>
      <c r="AO107" s="122"/>
      <c r="AP107" s="110"/>
    </row>
    <row r="108" spans="1:4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AG108" s="33"/>
      <c r="AH108" s="105"/>
      <c r="AI108" s="108"/>
      <c r="AJ108" s="123"/>
      <c r="AK108" s="108"/>
      <c r="AL108" s="109"/>
      <c r="AM108" s="109"/>
      <c r="AN108" s="110"/>
      <c r="AO108" s="122"/>
      <c r="AP108" s="110"/>
    </row>
    <row r="109" spans="1:4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AG109" s="33"/>
      <c r="AH109" s="105"/>
      <c r="AI109" s="108"/>
      <c r="AJ109" s="123"/>
      <c r="AK109" s="108"/>
      <c r="AL109" s="109"/>
      <c r="AM109" s="109"/>
      <c r="AN109" s="110"/>
      <c r="AO109" s="122"/>
      <c r="AP109" s="110"/>
    </row>
    <row r="110" spans="1:4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AG110" s="33"/>
      <c r="AH110" s="105"/>
      <c r="AI110" s="108"/>
      <c r="AJ110" s="119"/>
      <c r="AK110" s="108"/>
      <c r="AL110" s="109"/>
      <c r="AM110" s="109"/>
      <c r="AN110" s="110"/>
      <c r="AO110" s="122"/>
      <c r="AP110" s="110"/>
    </row>
    <row r="111" spans="1:4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AG111" s="33"/>
      <c r="AH111" s="105"/>
      <c r="AI111" s="108"/>
      <c r="AJ111" s="119"/>
      <c r="AK111" s="108"/>
      <c r="AL111" s="109"/>
      <c r="AM111" s="109"/>
      <c r="AN111" s="110"/>
      <c r="AO111" s="122"/>
      <c r="AP111" s="110"/>
    </row>
    <row r="112" spans="1:4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AG112" s="33"/>
      <c r="AH112" s="105"/>
      <c r="AI112" s="108"/>
      <c r="AJ112" s="123"/>
      <c r="AK112" s="108"/>
      <c r="AL112" s="109"/>
      <c r="AM112" s="109"/>
      <c r="AN112" s="110"/>
      <c r="AO112" s="122"/>
      <c r="AP112" s="110"/>
    </row>
    <row r="113" spans="1:4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AG113" s="33"/>
      <c r="AH113" s="105"/>
      <c r="AI113" s="108"/>
      <c r="AJ113" s="123"/>
      <c r="AK113" s="108"/>
      <c r="AL113" s="109"/>
      <c r="AM113" s="109"/>
      <c r="AN113" s="110"/>
      <c r="AO113" s="122"/>
      <c r="AP113" s="110"/>
    </row>
    <row r="114" spans="1:4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AG114" s="33"/>
      <c r="AH114" s="105"/>
      <c r="AI114" s="108"/>
      <c r="AJ114" s="123"/>
      <c r="AK114" s="108"/>
      <c r="AL114" s="109"/>
      <c r="AM114" s="109"/>
      <c r="AN114" s="110"/>
      <c r="AO114" s="122"/>
      <c r="AP114" s="110"/>
    </row>
    <row r="115" spans="1:4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AG115" s="33"/>
      <c r="AH115" s="105"/>
      <c r="AI115" s="108"/>
      <c r="AJ115" s="123"/>
      <c r="AK115" s="108"/>
      <c r="AL115" s="109"/>
      <c r="AM115" s="109"/>
      <c r="AN115" s="110"/>
      <c r="AO115" s="122"/>
      <c r="AP115" s="110"/>
    </row>
    <row r="116" spans="1:4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AG116" s="33"/>
      <c r="AH116" s="105"/>
      <c r="AI116" s="108"/>
      <c r="AJ116" s="119"/>
      <c r="AK116" s="108"/>
      <c r="AL116" s="109"/>
      <c r="AM116" s="109"/>
      <c r="AN116" s="110"/>
      <c r="AO116" s="110"/>
      <c r="AP116" s="110"/>
    </row>
    <row r="117" spans="1:4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AG117" s="33"/>
      <c r="AH117" s="105"/>
      <c r="AI117" s="108"/>
      <c r="AJ117" s="119"/>
      <c r="AK117" s="108"/>
      <c r="AL117" s="109"/>
      <c r="AM117" s="109"/>
      <c r="AN117" s="110"/>
      <c r="AO117" s="110"/>
      <c r="AP117" s="110"/>
    </row>
    <row r="118" spans="1:4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AG118" s="33"/>
      <c r="AH118" s="105"/>
      <c r="AI118" s="108"/>
      <c r="AJ118" s="119"/>
      <c r="AK118" s="108"/>
      <c r="AL118" s="109"/>
      <c r="AM118" s="109"/>
      <c r="AN118" s="110"/>
      <c r="AO118" s="110"/>
      <c r="AP118" s="110"/>
    </row>
    <row r="119" spans="1:4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AG119" s="33"/>
      <c r="AH119" s="105"/>
      <c r="AI119" s="108"/>
      <c r="AJ119" s="123"/>
      <c r="AK119" s="108"/>
      <c r="AL119" s="109"/>
      <c r="AM119" s="109"/>
      <c r="AN119" s="110"/>
      <c r="AO119" s="110"/>
      <c r="AP119" s="110"/>
    </row>
    <row r="120" spans="1:4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AG120" s="33"/>
      <c r="AH120" s="105"/>
      <c r="AI120" s="108"/>
      <c r="AJ120" s="123"/>
      <c r="AK120" s="108"/>
      <c r="AL120" s="109"/>
      <c r="AM120" s="109"/>
      <c r="AN120" s="110"/>
      <c r="AO120" s="109"/>
      <c r="AP120" s="110"/>
    </row>
    <row r="121" spans="1:4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AG121" s="33"/>
      <c r="AH121" s="105"/>
      <c r="AI121" s="108"/>
      <c r="AJ121" s="123"/>
      <c r="AK121" s="108"/>
      <c r="AL121" s="109"/>
      <c r="AM121" s="109"/>
      <c r="AN121" s="110"/>
      <c r="AO121" s="109"/>
      <c r="AP121" s="110"/>
    </row>
    <row r="122" spans="1:4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AG122" s="33"/>
      <c r="AH122" s="105"/>
      <c r="AI122" s="108"/>
      <c r="AJ122" s="123"/>
      <c r="AK122" s="108"/>
      <c r="AL122" s="109"/>
      <c r="AM122" s="109"/>
      <c r="AN122" s="110"/>
      <c r="AO122" s="109"/>
      <c r="AP122" s="110"/>
    </row>
    <row r="123" spans="1:4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AG123" s="33"/>
      <c r="AH123" s="105"/>
      <c r="AI123" s="108"/>
      <c r="AJ123" s="123"/>
      <c r="AK123" s="108"/>
      <c r="AL123" s="109"/>
      <c r="AM123" s="109"/>
      <c r="AN123" s="110"/>
      <c r="AO123" s="109"/>
      <c r="AP123" s="110"/>
    </row>
    <row r="124" spans="1:4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AG124" s="33"/>
      <c r="AH124" s="105"/>
      <c r="AI124" s="108"/>
      <c r="AJ124" s="123"/>
      <c r="AK124" s="108"/>
      <c r="AL124" s="109"/>
      <c r="AM124" s="109"/>
      <c r="AN124" s="110"/>
      <c r="AO124" s="110"/>
      <c r="AP124" s="110"/>
    </row>
    <row r="125" spans="1:4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AG125" s="33"/>
      <c r="AH125" s="105"/>
      <c r="AI125" s="108"/>
      <c r="AJ125" s="123"/>
      <c r="AK125" s="108"/>
      <c r="AL125" s="109"/>
      <c r="AM125" s="109"/>
      <c r="AN125" s="110"/>
      <c r="AO125" s="110"/>
      <c r="AP125" s="110"/>
    </row>
    <row r="126" spans="1:4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AG126" s="33"/>
      <c r="AH126" s="105"/>
      <c r="AI126" s="108"/>
      <c r="AJ126" s="123"/>
      <c r="AK126" s="108"/>
      <c r="AL126" s="109"/>
      <c r="AM126" s="109"/>
      <c r="AN126" s="110"/>
      <c r="AO126" s="110"/>
      <c r="AP126" s="110"/>
    </row>
    <row r="127" spans="1:4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AG127" s="33"/>
      <c r="AH127" s="105"/>
      <c r="AI127" s="108"/>
      <c r="AJ127" s="123"/>
      <c r="AK127" s="108"/>
      <c r="AL127" s="109"/>
      <c r="AM127" s="109"/>
      <c r="AN127" s="110"/>
      <c r="AO127" s="110"/>
      <c r="AP127" s="110"/>
    </row>
    <row r="128" spans="1:4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AG128" s="33"/>
      <c r="AH128" s="67"/>
      <c r="AI128" s="79"/>
      <c r="AJ128" s="69"/>
      <c r="AK128" s="67"/>
      <c r="AL128" s="70"/>
      <c r="AM128" s="70"/>
      <c r="AN128" s="80"/>
      <c r="AO128" s="70"/>
      <c r="AP128" s="71"/>
    </row>
    <row r="129" spans="1:42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AG129" s="33"/>
      <c r="AH129" s="67"/>
      <c r="AI129" s="79"/>
      <c r="AJ129" s="69"/>
      <c r="AK129" s="67"/>
      <c r="AL129" s="70"/>
      <c r="AM129" s="70"/>
      <c r="AN129" s="80"/>
      <c r="AO129" s="70"/>
      <c r="AP129" s="71"/>
    </row>
    <row r="130" spans="1:42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AG130" s="33"/>
      <c r="AH130" s="67"/>
      <c r="AI130" s="79"/>
      <c r="AJ130" s="69"/>
      <c r="AK130" s="67"/>
      <c r="AL130" s="70"/>
      <c r="AM130" s="70"/>
      <c r="AN130" s="80"/>
      <c r="AO130" s="70"/>
      <c r="AP130" s="71"/>
    </row>
    <row r="131" spans="1:42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AG131" s="33"/>
      <c r="AH131" s="67"/>
      <c r="AI131" s="79"/>
      <c r="AJ131" s="69"/>
      <c r="AK131" s="67"/>
      <c r="AL131" s="70"/>
      <c r="AM131" s="70"/>
      <c r="AN131" s="80"/>
      <c r="AO131" s="70"/>
      <c r="AP131" s="71"/>
    </row>
    <row r="132" spans="1:42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AG132" s="33"/>
      <c r="AH132" s="67"/>
      <c r="AI132" s="79"/>
      <c r="AJ132" s="69"/>
      <c r="AK132" s="67"/>
      <c r="AL132" s="70"/>
      <c r="AM132" s="70"/>
      <c r="AN132" s="80"/>
      <c r="AO132" s="70"/>
      <c r="AP132" s="71"/>
    </row>
    <row r="133" spans="1:42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AG133" s="33"/>
      <c r="AH133" s="67"/>
      <c r="AI133" s="79"/>
      <c r="AJ133" s="69"/>
      <c r="AK133" s="67"/>
      <c r="AL133" s="70"/>
      <c r="AM133" s="70"/>
      <c r="AN133" s="80"/>
      <c r="AO133" s="70"/>
      <c r="AP133" s="71"/>
    </row>
    <row r="134" spans="1:42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AG134" s="33"/>
      <c r="AH134" s="67"/>
      <c r="AI134" s="79"/>
      <c r="AJ134" s="69"/>
      <c r="AK134" s="67"/>
      <c r="AL134" s="70"/>
      <c r="AM134" s="70"/>
      <c r="AN134" s="80"/>
      <c r="AO134" s="70"/>
      <c r="AP134" s="71"/>
    </row>
    <row r="135" spans="1:42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AG135" s="33"/>
      <c r="AH135" s="67"/>
      <c r="AI135" s="79"/>
      <c r="AJ135" s="69"/>
      <c r="AK135" s="67"/>
      <c r="AL135" s="70"/>
      <c r="AM135" s="70"/>
      <c r="AN135" s="80"/>
      <c r="AO135" s="70"/>
      <c r="AP135" s="71"/>
    </row>
    <row r="136" spans="1:42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AG136" s="33"/>
      <c r="AH136" s="67"/>
      <c r="AI136" s="79"/>
      <c r="AJ136" s="69"/>
      <c r="AK136" s="67"/>
      <c r="AL136" s="70"/>
      <c r="AM136" s="70"/>
      <c r="AN136" s="80"/>
      <c r="AO136" s="70"/>
      <c r="AP136" s="71"/>
    </row>
    <row r="137" spans="1:42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AG137" s="33"/>
      <c r="AH137" s="67"/>
      <c r="AI137" s="79"/>
      <c r="AJ137" s="69"/>
      <c r="AK137" s="67"/>
      <c r="AL137" s="70"/>
      <c r="AM137" s="70"/>
      <c r="AN137" s="80"/>
      <c r="AO137" s="70"/>
      <c r="AP137" s="71"/>
    </row>
    <row r="138" spans="1:42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AG138" s="33"/>
      <c r="AH138" s="67"/>
      <c r="AI138" s="79"/>
      <c r="AJ138" s="69"/>
      <c r="AK138" s="67"/>
      <c r="AL138" s="70"/>
      <c r="AM138" s="70"/>
      <c r="AN138" s="80"/>
      <c r="AO138" s="70"/>
      <c r="AP138" s="71"/>
    </row>
    <row r="139" spans="1:42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AG139" s="33"/>
      <c r="AH139" s="67"/>
      <c r="AI139" s="79"/>
      <c r="AJ139" s="69"/>
      <c r="AK139" s="67"/>
      <c r="AL139" s="70"/>
      <c r="AM139" s="70"/>
      <c r="AN139" s="80"/>
      <c r="AO139" s="70"/>
      <c r="AP139" s="71"/>
    </row>
    <row r="140" spans="1:42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AG140" s="33"/>
      <c r="AH140" s="67"/>
      <c r="AI140" s="79"/>
      <c r="AJ140" s="69"/>
      <c r="AK140" s="67"/>
      <c r="AL140" s="70"/>
      <c r="AM140" s="70"/>
      <c r="AN140" s="80"/>
      <c r="AO140" s="70"/>
      <c r="AP140" s="71"/>
    </row>
    <row r="141" spans="1:42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AG141" s="33"/>
      <c r="AH141" s="67"/>
      <c r="AI141" s="79"/>
      <c r="AJ141" s="69"/>
      <c r="AK141" s="67"/>
      <c r="AL141" s="70"/>
      <c r="AM141" s="70"/>
      <c r="AN141" s="80"/>
      <c r="AO141" s="70"/>
      <c r="AP141" s="71"/>
    </row>
    <row r="142" spans="1:42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AG142" s="33"/>
      <c r="AH142" s="67"/>
      <c r="AI142" s="79"/>
      <c r="AJ142" s="69"/>
      <c r="AK142" s="67"/>
      <c r="AL142" s="70"/>
      <c r="AM142" s="70"/>
      <c r="AN142" s="80"/>
      <c r="AO142" s="70"/>
      <c r="AP142" s="71"/>
    </row>
    <row r="143" spans="1:42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AG143" s="33"/>
      <c r="AH143" s="67"/>
      <c r="AI143" s="79"/>
      <c r="AJ143" s="69"/>
      <c r="AK143" s="67"/>
      <c r="AL143" s="70"/>
      <c r="AM143" s="70"/>
      <c r="AN143" s="80"/>
      <c r="AO143" s="70"/>
      <c r="AP143" s="71"/>
    </row>
    <row r="144" spans="1:42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AG144" s="33"/>
      <c r="AH144" s="67"/>
      <c r="AI144" s="79"/>
      <c r="AJ144" s="69"/>
      <c r="AK144" s="67"/>
      <c r="AL144" s="70"/>
      <c r="AM144" s="70"/>
      <c r="AN144" s="80"/>
      <c r="AO144" s="70"/>
      <c r="AP144" s="71"/>
    </row>
    <row r="145" spans="1:42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AG145" s="33"/>
      <c r="AH145" s="67"/>
      <c r="AI145" s="79"/>
      <c r="AJ145" s="69"/>
      <c r="AK145" s="67"/>
      <c r="AL145" s="70"/>
      <c r="AM145" s="70"/>
      <c r="AN145" s="80"/>
      <c r="AO145" s="70"/>
      <c r="AP145" s="71"/>
    </row>
    <row r="146" spans="1:42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AG146" s="33"/>
      <c r="AH146" s="67"/>
      <c r="AI146" s="79"/>
      <c r="AJ146" s="69"/>
      <c r="AK146" s="67"/>
      <c r="AL146" s="70"/>
      <c r="AM146" s="70"/>
      <c r="AN146" s="80"/>
      <c r="AO146" s="70"/>
      <c r="AP146" s="71"/>
    </row>
    <row r="147" spans="1:42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AG147" s="33"/>
      <c r="AH147" s="67"/>
      <c r="AI147" s="79"/>
      <c r="AJ147" s="69"/>
      <c r="AK147" s="67"/>
      <c r="AL147" s="70"/>
      <c r="AM147" s="70"/>
      <c r="AN147" s="80"/>
      <c r="AO147" s="70"/>
      <c r="AP147" s="71"/>
    </row>
    <row r="148" spans="1:42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AG148" s="33"/>
      <c r="AH148" s="67"/>
      <c r="AI148" s="79"/>
      <c r="AJ148" s="69"/>
      <c r="AK148" s="67"/>
      <c r="AL148" s="70"/>
      <c r="AM148" s="70"/>
      <c r="AN148" s="80"/>
      <c r="AO148" s="70"/>
      <c r="AP148" s="71"/>
    </row>
    <row r="149" spans="1:42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AG149" s="33"/>
      <c r="AH149" s="67"/>
      <c r="AI149" s="79"/>
      <c r="AJ149" s="69"/>
      <c r="AK149" s="67"/>
      <c r="AL149" s="70"/>
      <c r="AM149" s="70"/>
      <c r="AN149" s="80"/>
      <c r="AO149" s="70"/>
      <c r="AP149" s="71"/>
    </row>
    <row r="150" spans="1:42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AG150" s="33"/>
      <c r="AH150" s="67"/>
      <c r="AI150" s="79"/>
      <c r="AJ150" s="69"/>
      <c r="AK150" s="67"/>
      <c r="AL150" s="70"/>
      <c r="AM150" s="70"/>
      <c r="AN150" s="80"/>
      <c r="AO150" s="70"/>
      <c r="AP150" s="71"/>
    </row>
    <row r="151" spans="1:42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AG151" s="33"/>
      <c r="AH151" s="67"/>
      <c r="AI151" s="79"/>
      <c r="AJ151" s="69"/>
      <c r="AK151" s="67"/>
      <c r="AL151" s="70"/>
      <c r="AM151" s="70"/>
      <c r="AN151" s="80"/>
      <c r="AO151" s="70"/>
      <c r="AP151" s="71"/>
    </row>
    <row r="152" spans="1:42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AG152" s="33"/>
      <c r="AH152" s="67"/>
      <c r="AI152" s="79"/>
      <c r="AJ152" s="69"/>
      <c r="AK152" s="67"/>
      <c r="AL152" s="70"/>
      <c r="AM152" s="70"/>
      <c r="AN152" s="80"/>
      <c r="AO152" s="70"/>
      <c r="AP152" s="71"/>
    </row>
    <row r="153" spans="1:42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AG153" s="33"/>
      <c r="AH153" s="67"/>
      <c r="AI153" s="79"/>
      <c r="AJ153" s="69"/>
      <c r="AK153" s="67"/>
      <c r="AL153" s="70"/>
      <c r="AM153" s="70"/>
      <c r="AN153" s="80"/>
      <c r="AO153" s="70"/>
      <c r="AP153" s="71"/>
    </row>
    <row r="154" spans="1:42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AG154" s="33"/>
      <c r="AH154" s="67"/>
      <c r="AI154" s="79"/>
      <c r="AJ154" s="69"/>
      <c r="AK154" s="67"/>
      <c r="AL154" s="70"/>
      <c r="AM154" s="70"/>
      <c r="AN154" s="80"/>
      <c r="AO154" s="70"/>
      <c r="AP154" s="71"/>
    </row>
    <row r="155" spans="1:42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AG155" s="33"/>
      <c r="AH155" s="67"/>
      <c r="AI155" s="79"/>
      <c r="AJ155" s="69"/>
      <c r="AK155" s="67"/>
      <c r="AL155" s="70"/>
      <c r="AM155" s="70"/>
      <c r="AN155" s="80"/>
      <c r="AO155" s="70"/>
      <c r="AP155" s="71"/>
    </row>
    <row r="156" spans="1:42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AG156" s="33"/>
      <c r="AH156" s="67"/>
      <c r="AI156" s="79"/>
      <c r="AJ156" s="69"/>
      <c r="AK156" s="67"/>
      <c r="AL156" s="70"/>
      <c r="AM156" s="70"/>
      <c r="AN156" s="80"/>
      <c r="AO156" s="70"/>
      <c r="AP156" s="71"/>
    </row>
    <row r="157" spans="1:42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AG157" s="33"/>
      <c r="AH157" s="67"/>
      <c r="AI157" s="79"/>
      <c r="AJ157" s="69"/>
      <c r="AK157" s="67"/>
      <c r="AL157" s="70"/>
      <c r="AM157" s="70"/>
      <c r="AN157" s="80"/>
      <c r="AO157" s="70"/>
      <c r="AP157" s="71"/>
    </row>
    <row r="158" spans="1:42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AG158" s="33"/>
      <c r="AH158" s="67"/>
      <c r="AI158" s="79"/>
      <c r="AJ158" s="69"/>
      <c r="AK158" s="67"/>
      <c r="AL158" s="70"/>
      <c r="AM158" s="70"/>
      <c r="AN158" s="80"/>
      <c r="AO158" s="70"/>
      <c r="AP158" s="71"/>
    </row>
    <row r="159" spans="1:42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AG159" s="33"/>
      <c r="AH159" s="67"/>
      <c r="AI159" s="79"/>
      <c r="AJ159" s="69"/>
      <c r="AK159" s="67"/>
      <c r="AL159" s="70"/>
      <c r="AM159" s="70"/>
      <c r="AN159" s="80"/>
      <c r="AO159" s="70"/>
      <c r="AP159" s="71"/>
    </row>
    <row r="160" spans="1:42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AG160" s="33"/>
      <c r="AH160" s="67"/>
      <c r="AI160" s="79"/>
      <c r="AJ160" s="69"/>
      <c r="AK160" s="67"/>
      <c r="AL160" s="70"/>
      <c r="AM160" s="70"/>
      <c r="AN160" s="80"/>
      <c r="AO160" s="70"/>
      <c r="AP160" s="71"/>
    </row>
    <row r="161" spans="1:42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AG161" s="33"/>
      <c r="AH161" s="67"/>
      <c r="AI161" s="79"/>
      <c r="AJ161" s="69"/>
      <c r="AK161" s="67"/>
      <c r="AL161" s="70"/>
      <c r="AM161" s="70"/>
      <c r="AN161" s="80"/>
      <c r="AO161" s="70"/>
      <c r="AP161" s="71"/>
    </row>
    <row r="162" spans="1:42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AG162" s="33"/>
      <c r="AH162" s="67"/>
      <c r="AI162" s="79"/>
      <c r="AJ162" s="69"/>
      <c r="AK162" s="67"/>
      <c r="AL162" s="70"/>
      <c r="AM162" s="70"/>
      <c r="AN162" s="80"/>
      <c r="AO162" s="70"/>
      <c r="AP162" s="71"/>
    </row>
    <row r="163" spans="1:42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AG163" s="33"/>
      <c r="AH163" s="67"/>
      <c r="AI163" s="79"/>
      <c r="AJ163" s="69"/>
      <c r="AK163" s="67"/>
      <c r="AL163" s="70"/>
      <c r="AM163" s="70"/>
      <c r="AN163" s="80"/>
      <c r="AO163" s="70"/>
      <c r="AP163" s="71"/>
    </row>
    <row r="164" spans="1:42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AG164" s="33"/>
      <c r="AH164" s="67"/>
      <c r="AI164" s="79"/>
      <c r="AJ164" s="69"/>
      <c r="AK164" s="67"/>
      <c r="AL164" s="70"/>
      <c r="AM164" s="70"/>
      <c r="AN164" s="80"/>
      <c r="AO164" s="70"/>
      <c r="AP164" s="71"/>
    </row>
    <row r="165" spans="1:42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AG165" s="33"/>
      <c r="AH165" s="67"/>
      <c r="AI165" s="79"/>
      <c r="AJ165" s="69"/>
      <c r="AK165" s="67"/>
      <c r="AL165" s="70"/>
      <c r="AM165" s="70"/>
      <c r="AN165" s="80"/>
      <c r="AO165" s="70"/>
      <c r="AP165" s="71"/>
    </row>
    <row r="166" spans="1:42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AG166" s="33"/>
      <c r="AH166" s="67"/>
      <c r="AI166" s="79"/>
      <c r="AJ166" s="69"/>
      <c r="AK166" s="67"/>
      <c r="AL166" s="70"/>
      <c r="AM166" s="70"/>
      <c r="AN166" s="80"/>
      <c r="AO166" s="70"/>
      <c r="AP166" s="71"/>
    </row>
    <row r="167" spans="1:42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AG167" s="33"/>
      <c r="AH167" s="67"/>
      <c r="AI167" s="79"/>
      <c r="AJ167" s="69"/>
      <c r="AK167" s="67"/>
      <c r="AL167" s="70"/>
      <c r="AM167" s="70"/>
      <c r="AN167" s="80"/>
      <c r="AO167" s="70"/>
      <c r="AP167" s="71"/>
    </row>
    <row r="168" spans="1:42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AG168" s="33"/>
      <c r="AH168" s="67"/>
      <c r="AI168" s="79"/>
      <c r="AJ168" s="69"/>
      <c r="AK168" s="67"/>
      <c r="AL168" s="70"/>
      <c r="AM168" s="70"/>
      <c r="AN168" s="80"/>
      <c r="AO168" s="70"/>
      <c r="AP168" s="71"/>
    </row>
    <row r="169" spans="1:42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AG169" s="33"/>
      <c r="AH169" s="67"/>
      <c r="AI169" s="79"/>
      <c r="AJ169" s="69"/>
      <c r="AK169" s="67"/>
      <c r="AL169" s="70"/>
      <c r="AM169" s="70"/>
      <c r="AN169" s="80"/>
      <c r="AO169" s="70"/>
      <c r="AP169" s="71"/>
    </row>
    <row r="170" spans="1:42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AG170" s="33"/>
      <c r="AH170" s="67"/>
      <c r="AI170" s="79"/>
      <c r="AJ170" s="69"/>
      <c r="AK170" s="67"/>
      <c r="AL170" s="70"/>
      <c r="AM170" s="70"/>
      <c r="AN170" s="80"/>
      <c r="AO170" s="70"/>
      <c r="AP170" s="71"/>
    </row>
    <row r="171" spans="1:42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AG171" s="33"/>
      <c r="AH171" s="67"/>
      <c r="AI171" s="79"/>
      <c r="AJ171" s="69"/>
      <c r="AK171" s="67"/>
      <c r="AL171" s="70"/>
      <c r="AM171" s="70"/>
      <c r="AN171" s="80"/>
      <c r="AO171" s="70"/>
      <c r="AP171" s="71"/>
    </row>
    <row r="172" spans="1:42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AG172" s="33"/>
      <c r="AH172" s="67"/>
      <c r="AI172" s="79"/>
      <c r="AJ172" s="69"/>
      <c r="AK172" s="67"/>
      <c r="AL172" s="70"/>
      <c r="AM172" s="70"/>
      <c r="AN172" s="80"/>
      <c r="AO172" s="70"/>
      <c r="AP172" s="71"/>
    </row>
    <row r="173" spans="1:42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AG173" s="33"/>
      <c r="AH173" s="67"/>
      <c r="AI173" s="79"/>
      <c r="AJ173" s="69"/>
      <c r="AK173" s="67"/>
      <c r="AL173" s="70"/>
      <c r="AM173" s="70"/>
      <c r="AN173" s="80"/>
      <c r="AO173" s="70"/>
      <c r="AP173" s="71"/>
    </row>
    <row r="174" spans="1:42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AG174" s="33"/>
      <c r="AH174" s="67"/>
      <c r="AI174" s="79"/>
      <c r="AJ174" s="69"/>
      <c r="AK174" s="67"/>
      <c r="AL174" s="70"/>
      <c r="AM174" s="70"/>
      <c r="AN174" s="80"/>
      <c r="AO174" s="70"/>
      <c r="AP174" s="71"/>
    </row>
    <row r="175" spans="1:42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AG175" s="33"/>
      <c r="AH175" s="67"/>
      <c r="AI175" s="79"/>
      <c r="AJ175" s="69"/>
      <c r="AK175" s="67"/>
      <c r="AL175" s="70"/>
      <c r="AM175" s="70"/>
      <c r="AN175" s="80"/>
      <c r="AO175" s="70"/>
      <c r="AP175" s="71"/>
    </row>
    <row r="176" spans="1:42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AG176" s="33"/>
      <c r="AH176" s="67"/>
      <c r="AI176" s="79"/>
      <c r="AJ176" s="69"/>
      <c r="AK176" s="67"/>
      <c r="AL176" s="70"/>
      <c r="AM176" s="70"/>
      <c r="AN176" s="80"/>
      <c r="AO176" s="70"/>
      <c r="AP176" s="71"/>
    </row>
    <row r="177" spans="1:42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AG177" s="33"/>
      <c r="AH177" s="67"/>
      <c r="AI177" s="79"/>
      <c r="AJ177" s="69"/>
      <c r="AK177" s="67"/>
      <c r="AL177" s="70"/>
      <c r="AM177" s="70"/>
      <c r="AN177" s="80"/>
      <c r="AO177" s="70"/>
      <c r="AP177" s="71"/>
    </row>
    <row r="178" spans="1:42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AG178" s="33"/>
      <c r="AH178" s="67"/>
      <c r="AI178" s="79"/>
      <c r="AJ178" s="69"/>
      <c r="AK178" s="67"/>
      <c r="AL178" s="70"/>
      <c r="AM178" s="70"/>
      <c r="AN178" s="80"/>
      <c r="AO178" s="70"/>
      <c r="AP178" s="71"/>
    </row>
    <row r="179" spans="1:42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AG179" s="33"/>
      <c r="AH179" s="67"/>
      <c r="AI179" s="79"/>
      <c r="AJ179" s="69"/>
      <c r="AK179" s="67"/>
      <c r="AL179" s="70"/>
      <c r="AM179" s="70"/>
      <c r="AN179" s="80"/>
      <c r="AO179" s="70"/>
      <c r="AP179" s="71"/>
    </row>
    <row r="180" spans="1:42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AG180" s="33"/>
      <c r="AH180" s="67"/>
      <c r="AI180" s="79"/>
      <c r="AJ180" s="69"/>
      <c r="AK180" s="67"/>
      <c r="AL180" s="70"/>
      <c r="AM180" s="70"/>
      <c r="AN180" s="80"/>
      <c r="AO180" s="70"/>
      <c r="AP180" s="71"/>
    </row>
    <row r="181" spans="1:42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AG181" s="33"/>
      <c r="AH181" s="67"/>
      <c r="AI181" s="79"/>
      <c r="AJ181" s="69"/>
      <c r="AK181" s="67"/>
      <c r="AL181" s="70"/>
      <c r="AM181" s="70"/>
      <c r="AN181" s="80"/>
      <c r="AO181" s="70"/>
      <c r="AP181" s="71"/>
    </row>
    <row r="182" spans="1:42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AG182" s="33"/>
      <c r="AH182" s="67"/>
      <c r="AI182" s="79"/>
      <c r="AJ182" s="69"/>
      <c r="AK182" s="67"/>
      <c r="AL182" s="70"/>
      <c r="AM182" s="70"/>
      <c r="AN182" s="80"/>
      <c r="AO182" s="70"/>
      <c r="AP182" s="71"/>
    </row>
    <row r="183" spans="1:42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AG183" s="33"/>
      <c r="AH183" s="67"/>
      <c r="AI183" s="79"/>
      <c r="AJ183" s="69"/>
      <c r="AK183" s="67"/>
      <c r="AL183" s="70"/>
      <c r="AM183" s="70"/>
      <c r="AN183" s="80"/>
      <c r="AO183" s="70"/>
      <c r="AP183" s="71"/>
    </row>
    <row r="184" spans="1:42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AG184" s="33"/>
      <c r="AH184" s="67"/>
      <c r="AI184" s="79"/>
      <c r="AJ184" s="69"/>
      <c r="AK184" s="67"/>
      <c r="AL184" s="70"/>
      <c r="AM184" s="70"/>
      <c r="AN184" s="80"/>
      <c r="AO184" s="70"/>
      <c r="AP184" s="71"/>
    </row>
    <row r="185" spans="1:42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AG185" s="33"/>
      <c r="AH185" s="67"/>
      <c r="AI185" s="79"/>
      <c r="AJ185" s="69"/>
      <c r="AK185" s="67"/>
      <c r="AL185" s="70"/>
      <c r="AM185" s="70"/>
      <c r="AN185" s="80"/>
      <c r="AO185" s="70"/>
      <c r="AP185" s="71"/>
    </row>
    <row r="186" spans="1:42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AG186" s="33"/>
      <c r="AH186" s="67"/>
      <c r="AI186" s="79"/>
      <c r="AJ186" s="69"/>
      <c r="AK186" s="67"/>
      <c r="AL186" s="70"/>
      <c r="AM186" s="70"/>
      <c r="AN186" s="80"/>
      <c r="AO186" s="70"/>
      <c r="AP186" s="71"/>
    </row>
    <row r="187" spans="1:42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AG187" s="33"/>
      <c r="AH187" s="67"/>
      <c r="AI187" s="79"/>
      <c r="AJ187" s="69"/>
      <c r="AK187" s="67"/>
      <c r="AL187" s="70"/>
      <c r="AM187" s="70"/>
      <c r="AN187" s="80"/>
      <c r="AO187" s="70"/>
      <c r="AP187" s="71"/>
    </row>
    <row r="188" spans="1:42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AG188" s="33"/>
      <c r="AH188" s="67"/>
      <c r="AI188" s="79"/>
      <c r="AJ188" s="69"/>
      <c r="AK188" s="67"/>
      <c r="AL188" s="70"/>
      <c r="AM188" s="70"/>
      <c r="AN188" s="80"/>
      <c r="AO188" s="70"/>
      <c r="AP188" s="71"/>
    </row>
    <row r="189" spans="1:42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AG189" s="33"/>
      <c r="AH189" s="67"/>
      <c r="AI189" s="79"/>
      <c r="AJ189" s="69"/>
      <c r="AK189" s="67"/>
      <c r="AL189" s="70"/>
      <c r="AM189" s="70"/>
      <c r="AN189" s="80"/>
      <c r="AO189" s="70"/>
      <c r="AP189" s="71"/>
    </row>
    <row r="190" spans="1:42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AG190" s="33"/>
      <c r="AH190" s="67"/>
      <c r="AI190" s="79"/>
      <c r="AJ190" s="69"/>
      <c r="AK190" s="67"/>
      <c r="AL190" s="70"/>
      <c r="AM190" s="70"/>
      <c r="AN190" s="80"/>
      <c r="AO190" s="70"/>
      <c r="AP190" s="71"/>
    </row>
    <row r="191" spans="1:42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AG191" s="33"/>
      <c r="AH191" s="67"/>
      <c r="AI191" s="79"/>
      <c r="AJ191" s="69"/>
      <c r="AK191" s="67"/>
      <c r="AL191" s="70"/>
      <c r="AM191" s="70"/>
      <c r="AN191" s="80"/>
      <c r="AO191" s="70"/>
      <c r="AP191" s="71"/>
    </row>
    <row r="192" spans="1:42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AG192" s="33"/>
      <c r="AH192" s="67"/>
      <c r="AI192" s="79"/>
      <c r="AJ192" s="69"/>
      <c r="AK192" s="67"/>
      <c r="AL192" s="70"/>
      <c r="AM192" s="70"/>
      <c r="AN192" s="80"/>
      <c r="AO192" s="70"/>
      <c r="AP192" s="71"/>
    </row>
    <row r="193" spans="1:42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AG193" s="33"/>
      <c r="AH193" s="67"/>
      <c r="AI193" s="79"/>
      <c r="AJ193" s="69"/>
      <c r="AK193" s="67"/>
      <c r="AL193" s="70"/>
      <c r="AM193" s="70"/>
      <c r="AN193" s="80"/>
      <c r="AO193" s="70"/>
      <c r="AP193" s="71"/>
    </row>
    <row r="194" spans="1:42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AG194" s="33"/>
      <c r="AH194" s="67"/>
      <c r="AI194" s="79"/>
      <c r="AJ194" s="69"/>
      <c r="AK194" s="67"/>
      <c r="AL194" s="70"/>
      <c r="AM194" s="70"/>
      <c r="AN194" s="80"/>
      <c r="AO194" s="70"/>
      <c r="AP194" s="71"/>
    </row>
    <row r="195" spans="1:42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AG195" s="33"/>
      <c r="AH195" s="67"/>
      <c r="AI195" s="79"/>
      <c r="AJ195" s="69"/>
      <c r="AK195" s="67"/>
      <c r="AL195" s="70"/>
      <c r="AM195" s="70"/>
      <c r="AN195" s="80"/>
      <c r="AO195" s="70"/>
      <c r="AP195" s="71"/>
    </row>
    <row r="196" spans="1:42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AG196" s="33"/>
      <c r="AH196" s="67"/>
      <c r="AI196" s="81"/>
      <c r="AJ196" s="69"/>
      <c r="AK196" s="67"/>
      <c r="AL196" s="70"/>
      <c r="AM196" s="70"/>
      <c r="AN196" s="80"/>
      <c r="AO196" s="70"/>
      <c r="AP196" s="71"/>
    </row>
    <row r="197" spans="1:42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AG197" s="33"/>
      <c r="AH197" s="67"/>
      <c r="AI197" s="81"/>
      <c r="AJ197" s="69"/>
      <c r="AK197" s="67"/>
      <c r="AL197" s="70"/>
      <c r="AM197" s="70"/>
      <c r="AN197" s="80"/>
      <c r="AO197" s="70"/>
      <c r="AP197" s="71"/>
    </row>
    <row r="198" spans="1:42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AG198" s="33"/>
      <c r="AH198" s="67"/>
      <c r="AI198" s="81"/>
      <c r="AJ198" s="69"/>
      <c r="AK198" s="67"/>
      <c r="AL198" s="70"/>
      <c r="AM198" s="70"/>
      <c r="AN198" s="80"/>
      <c r="AO198" s="70"/>
      <c r="AP198" s="71"/>
    </row>
    <row r="199" spans="1:42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AG199" s="33"/>
      <c r="AH199" s="67"/>
      <c r="AI199" s="81"/>
      <c r="AJ199" s="69"/>
      <c r="AK199" s="67"/>
      <c r="AL199" s="70"/>
      <c r="AM199" s="70"/>
      <c r="AN199" s="80"/>
      <c r="AO199" s="70"/>
      <c r="AP199" s="71"/>
    </row>
    <row r="200" spans="1:42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AG200" s="33"/>
      <c r="AH200" s="67"/>
      <c r="AI200" s="81"/>
      <c r="AJ200" s="69"/>
      <c r="AK200" s="67"/>
      <c r="AL200" s="70"/>
      <c r="AM200" s="70"/>
      <c r="AN200" s="80"/>
      <c r="AO200" s="70"/>
      <c r="AP200" s="71"/>
    </row>
    <row r="201" spans="1:42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AG201" s="33"/>
      <c r="AH201" s="67"/>
      <c r="AI201" s="81"/>
      <c r="AJ201" s="69"/>
      <c r="AK201" s="67"/>
      <c r="AL201" s="70"/>
      <c r="AM201" s="70"/>
      <c r="AN201" s="80"/>
      <c r="AO201" s="70"/>
      <c r="AP201" s="71"/>
    </row>
    <row r="202" spans="1:42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AG202" s="33"/>
      <c r="AH202" s="67"/>
      <c r="AI202" s="81"/>
      <c r="AJ202" s="69"/>
      <c r="AK202" s="67"/>
      <c r="AL202" s="70"/>
      <c r="AM202" s="70"/>
      <c r="AN202" s="80"/>
      <c r="AO202" s="70"/>
      <c r="AP202" s="71"/>
    </row>
    <row r="203" spans="1:42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AG203" s="33"/>
      <c r="AH203" s="67"/>
      <c r="AI203" s="81"/>
      <c r="AJ203" s="69"/>
      <c r="AK203" s="67"/>
      <c r="AL203" s="70"/>
      <c r="AM203" s="70"/>
      <c r="AN203" s="80"/>
      <c r="AO203" s="70"/>
      <c r="AP203" s="71"/>
    </row>
    <row r="204" spans="1:42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AG204" s="33"/>
      <c r="AH204" s="67"/>
      <c r="AI204" s="81"/>
      <c r="AJ204" s="69"/>
      <c r="AK204" s="67"/>
      <c r="AL204" s="70"/>
      <c r="AM204" s="70"/>
      <c r="AN204" s="80"/>
      <c r="AO204" s="70"/>
      <c r="AP204" s="71"/>
    </row>
    <row r="205" spans="1:42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AG205" s="33"/>
      <c r="AH205" s="67"/>
      <c r="AI205" s="81"/>
      <c r="AJ205" s="69"/>
      <c r="AK205" s="67"/>
      <c r="AL205" s="70"/>
      <c r="AM205" s="70"/>
      <c r="AN205" s="80"/>
      <c r="AO205" s="70"/>
      <c r="AP205" s="71"/>
    </row>
    <row r="206" spans="1:42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AG206" s="33"/>
      <c r="AH206" s="67"/>
      <c r="AI206" s="81"/>
      <c r="AJ206" s="69"/>
      <c r="AK206" s="67"/>
      <c r="AL206" s="70"/>
      <c r="AM206" s="70"/>
      <c r="AN206" s="80"/>
      <c r="AO206" s="70"/>
      <c r="AP206" s="71"/>
    </row>
    <row r="207" spans="1:42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AG207" s="33"/>
      <c r="AH207" s="67"/>
      <c r="AI207" s="81"/>
      <c r="AJ207" s="69"/>
      <c r="AK207" s="67"/>
      <c r="AL207" s="70"/>
      <c r="AM207" s="70"/>
      <c r="AN207" s="80"/>
      <c r="AO207" s="70"/>
      <c r="AP207" s="71"/>
    </row>
    <row r="208" spans="1:42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AG208" s="33"/>
      <c r="AH208" s="67"/>
      <c r="AI208" s="81"/>
      <c r="AJ208" s="69"/>
      <c r="AK208" s="67"/>
      <c r="AL208" s="70"/>
      <c r="AM208" s="70"/>
      <c r="AN208" s="80"/>
      <c r="AO208" s="70"/>
      <c r="AP208" s="71"/>
    </row>
    <row r="209" spans="1:42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AG209" s="33"/>
      <c r="AH209" s="67"/>
      <c r="AI209" s="81"/>
      <c r="AJ209" s="69"/>
      <c r="AK209" s="67"/>
      <c r="AL209" s="70"/>
      <c r="AM209" s="70"/>
      <c r="AN209" s="80"/>
      <c r="AO209" s="70"/>
      <c r="AP209" s="71"/>
    </row>
    <row r="210" spans="1:42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AG210" s="33"/>
      <c r="AH210" s="67"/>
      <c r="AI210" s="81"/>
      <c r="AJ210" s="69"/>
      <c r="AK210" s="67"/>
      <c r="AL210" s="70"/>
      <c r="AM210" s="70"/>
      <c r="AN210" s="80"/>
      <c r="AO210" s="70"/>
      <c r="AP210" s="71"/>
    </row>
    <row r="211" spans="1:42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AG211" s="33"/>
      <c r="AH211" s="67"/>
      <c r="AI211" s="81"/>
      <c r="AJ211" s="69"/>
      <c r="AK211" s="67"/>
      <c r="AL211" s="70"/>
      <c r="AM211" s="70"/>
      <c r="AN211" s="80"/>
      <c r="AO211" s="70"/>
      <c r="AP211" s="71"/>
    </row>
    <row r="212" spans="1:42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AG212" s="33"/>
      <c r="AH212" s="67"/>
      <c r="AI212" s="81"/>
      <c r="AJ212" s="69"/>
      <c r="AK212" s="67"/>
      <c r="AL212" s="70"/>
      <c r="AM212" s="70"/>
      <c r="AN212" s="80"/>
      <c r="AO212" s="70"/>
      <c r="AP212" s="71"/>
    </row>
    <row r="213" spans="1:42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AG213" s="33"/>
      <c r="AH213" s="67"/>
      <c r="AI213" s="81"/>
      <c r="AJ213" s="69"/>
      <c r="AK213" s="67"/>
      <c r="AL213" s="70"/>
      <c r="AM213" s="70"/>
      <c r="AN213" s="80"/>
      <c r="AO213" s="70"/>
      <c r="AP213" s="71"/>
    </row>
    <row r="214" spans="1:42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AG214" s="33"/>
      <c r="AH214" s="67"/>
      <c r="AI214" s="81"/>
      <c r="AJ214" s="69"/>
      <c r="AK214" s="67"/>
      <c r="AL214" s="70"/>
      <c r="AM214" s="70"/>
      <c r="AN214" s="80"/>
      <c r="AO214" s="70"/>
      <c r="AP214" s="71"/>
    </row>
    <row r="215" spans="1:42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AG215" s="33"/>
      <c r="AH215" s="67"/>
      <c r="AI215" s="81"/>
      <c r="AJ215" s="69"/>
      <c r="AK215" s="67"/>
      <c r="AL215" s="70"/>
      <c r="AM215" s="70"/>
      <c r="AN215" s="80"/>
      <c r="AO215" s="70"/>
      <c r="AP215" s="71"/>
    </row>
    <row r="216" spans="1:42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AG216" s="33"/>
      <c r="AH216" s="67"/>
      <c r="AI216" s="81"/>
      <c r="AJ216" s="69"/>
      <c r="AK216" s="67"/>
      <c r="AL216" s="70"/>
      <c r="AM216" s="70"/>
      <c r="AN216" s="80"/>
      <c r="AO216" s="70"/>
      <c r="AP216" s="71"/>
    </row>
    <row r="217" spans="1:42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AG217" s="33"/>
      <c r="AH217" s="67"/>
      <c r="AI217" s="81"/>
      <c r="AJ217" s="69"/>
      <c r="AK217" s="67"/>
      <c r="AL217" s="70"/>
      <c r="AM217" s="70"/>
      <c r="AN217" s="80"/>
      <c r="AO217" s="70"/>
      <c r="AP217" s="71"/>
    </row>
    <row r="218" spans="1:42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AG218" s="33"/>
      <c r="AH218" s="67"/>
      <c r="AI218" s="81"/>
      <c r="AJ218" s="69"/>
      <c r="AK218" s="67"/>
      <c r="AL218" s="70"/>
      <c r="AM218" s="70"/>
      <c r="AN218" s="80"/>
      <c r="AO218" s="70"/>
      <c r="AP218" s="71"/>
    </row>
    <row r="219" spans="1:42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AG219" s="33"/>
      <c r="AH219" s="67"/>
      <c r="AI219" s="81"/>
      <c r="AJ219" s="69"/>
      <c r="AK219" s="67"/>
      <c r="AL219" s="70"/>
      <c r="AM219" s="70"/>
      <c r="AN219" s="80"/>
      <c r="AO219" s="70"/>
      <c r="AP219" s="71"/>
    </row>
    <row r="220" spans="1:42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AG220" s="33"/>
      <c r="AH220" s="67"/>
      <c r="AI220" s="81"/>
      <c r="AJ220" s="69"/>
      <c r="AK220" s="67"/>
      <c r="AL220" s="70"/>
      <c r="AM220" s="70"/>
      <c r="AN220" s="80"/>
      <c r="AO220" s="70"/>
      <c r="AP220" s="71"/>
    </row>
    <row r="221" spans="1:42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AG221" s="33"/>
      <c r="AH221" s="67"/>
      <c r="AI221" s="81"/>
      <c r="AJ221" s="69"/>
      <c r="AK221" s="67"/>
      <c r="AL221" s="70"/>
      <c r="AM221" s="70"/>
      <c r="AN221" s="80"/>
      <c r="AO221" s="70"/>
      <c r="AP221" s="71"/>
    </row>
    <row r="222" spans="1:42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AG222" s="33"/>
      <c r="AH222" s="67"/>
      <c r="AI222" s="81"/>
      <c r="AJ222" s="69"/>
      <c r="AK222" s="67"/>
      <c r="AL222" s="70"/>
      <c r="AM222" s="70"/>
      <c r="AN222" s="80"/>
      <c r="AO222" s="70"/>
      <c r="AP222" s="71"/>
    </row>
    <row r="223" spans="1:42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AG223" s="33"/>
      <c r="AH223" s="67"/>
      <c r="AI223" s="81"/>
      <c r="AJ223" s="69"/>
      <c r="AK223" s="67"/>
      <c r="AL223" s="70"/>
      <c r="AM223" s="70"/>
      <c r="AN223" s="80"/>
      <c r="AO223" s="70"/>
      <c r="AP223" s="71"/>
    </row>
    <row r="224" spans="1:42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AG224" s="33"/>
      <c r="AH224" s="67"/>
      <c r="AI224" s="81"/>
      <c r="AJ224" s="69"/>
      <c r="AK224" s="67"/>
      <c r="AL224" s="70"/>
      <c r="AM224" s="70"/>
      <c r="AN224" s="80"/>
      <c r="AO224" s="70"/>
      <c r="AP224" s="71"/>
    </row>
    <row r="225" spans="1:42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AG225" s="33"/>
      <c r="AH225" s="67"/>
      <c r="AI225" s="81"/>
      <c r="AJ225" s="69"/>
      <c r="AK225" s="67"/>
      <c r="AL225" s="70"/>
      <c r="AM225" s="70"/>
      <c r="AN225" s="80"/>
      <c r="AO225" s="70"/>
      <c r="AP225" s="71"/>
    </row>
    <row r="226" spans="1:42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AG226" s="33"/>
      <c r="AH226" s="67"/>
      <c r="AI226" s="81"/>
      <c r="AJ226" s="69"/>
      <c r="AK226" s="67"/>
      <c r="AL226" s="70"/>
      <c r="AM226" s="70"/>
      <c r="AN226" s="80"/>
      <c r="AO226" s="70"/>
      <c r="AP226" s="71"/>
    </row>
    <row r="227" spans="1:42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AG227" s="33"/>
      <c r="AH227" s="67"/>
      <c r="AI227" s="81"/>
      <c r="AJ227" s="69"/>
      <c r="AK227" s="67"/>
      <c r="AL227" s="70"/>
      <c r="AM227" s="70"/>
      <c r="AN227" s="80"/>
      <c r="AO227" s="70"/>
      <c r="AP227" s="71"/>
    </row>
    <row r="228" spans="1:42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AG228" s="33"/>
      <c r="AH228" s="67"/>
      <c r="AI228" s="81"/>
      <c r="AJ228" s="69"/>
      <c r="AK228" s="67"/>
      <c r="AL228" s="70"/>
      <c r="AM228" s="70"/>
      <c r="AN228" s="80"/>
      <c r="AO228" s="70"/>
      <c r="AP228" s="71"/>
    </row>
    <row r="229" spans="1:42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AG229" s="33"/>
      <c r="AH229" s="67"/>
      <c r="AI229" s="81"/>
      <c r="AJ229" s="69"/>
      <c r="AK229" s="67"/>
      <c r="AL229" s="70"/>
      <c r="AM229" s="70"/>
      <c r="AN229" s="80"/>
      <c r="AO229" s="70"/>
      <c r="AP229" s="71"/>
    </row>
    <row r="230" spans="1:42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AG230" s="33"/>
      <c r="AH230" s="67"/>
      <c r="AI230" s="81"/>
      <c r="AJ230" s="69"/>
      <c r="AK230" s="67"/>
      <c r="AL230" s="70"/>
      <c r="AM230" s="70"/>
      <c r="AN230" s="80"/>
      <c r="AO230" s="70"/>
      <c r="AP230" s="71"/>
    </row>
    <row r="231" spans="1:42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AG231" s="33"/>
      <c r="AH231" s="67"/>
      <c r="AI231" s="81"/>
      <c r="AJ231" s="69"/>
      <c r="AK231" s="67"/>
      <c r="AL231" s="70"/>
      <c r="AM231" s="70"/>
      <c r="AN231" s="80"/>
      <c r="AO231" s="70"/>
      <c r="AP231" s="71"/>
    </row>
    <row r="232" spans="1:42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AG232" s="33"/>
      <c r="AH232" s="67"/>
      <c r="AI232" s="81"/>
      <c r="AJ232" s="69"/>
      <c r="AK232" s="67"/>
      <c r="AL232" s="70"/>
      <c r="AM232" s="70"/>
      <c r="AN232" s="80"/>
      <c r="AO232" s="70"/>
      <c r="AP232" s="71"/>
    </row>
    <row r="233" spans="1:42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AG233" s="33"/>
      <c r="AH233" s="67"/>
      <c r="AI233" s="81"/>
      <c r="AJ233" s="69"/>
      <c r="AK233" s="67"/>
      <c r="AL233" s="70"/>
      <c r="AM233" s="70"/>
      <c r="AN233" s="80"/>
      <c r="AO233" s="70"/>
      <c r="AP233" s="71"/>
    </row>
    <row r="234" spans="1:42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AG234" s="33"/>
      <c r="AH234" s="67"/>
      <c r="AI234" s="81"/>
      <c r="AJ234" s="69"/>
      <c r="AK234" s="67"/>
      <c r="AL234" s="70"/>
      <c r="AM234" s="70"/>
      <c r="AN234" s="80"/>
      <c r="AO234" s="70"/>
      <c r="AP234" s="71"/>
    </row>
    <row r="235" spans="1:42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AG235" s="33"/>
      <c r="AH235" s="67"/>
      <c r="AI235" s="81"/>
      <c r="AJ235" s="69"/>
      <c r="AK235" s="67"/>
      <c r="AL235" s="70"/>
      <c r="AM235" s="70"/>
      <c r="AN235" s="80"/>
      <c r="AO235" s="70"/>
      <c r="AP235" s="71"/>
    </row>
    <row r="236" spans="1:42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AG236" s="33"/>
      <c r="AH236" s="67"/>
      <c r="AI236" s="81"/>
      <c r="AJ236" s="69"/>
      <c r="AK236" s="67"/>
      <c r="AL236" s="70"/>
      <c r="AM236" s="70"/>
      <c r="AN236" s="80"/>
      <c r="AO236" s="70"/>
      <c r="AP236" s="71"/>
    </row>
    <row r="237" spans="1:42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AG237" s="33"/>
      <c r="AH237" s="67"/>
      <c r="AI237" s="81"/>
      <c r="AJ237" s="69"/>
      <c r="AK237" s="67"/>
      <c r="AL237" s="70"/>
      <c r="AM237" s="70"/>
      <c r="AN237" s="80"/>
      <c r="AO237" s="70"/>
      <c r="AP237" s="71"/>
    </row>
    <row r="238" spans="1:42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AG238" s="33"/>
      <c r="AH238" s="67"/>
      <c r="AI238" s="81"/>
      <c r="AJ238" s="69"/>
      <c r="AK238" s="67"/>
      <c r="AL238" s="70"/>
      <c r="AM238" s="70"/>
      <c r="AN238" s="80"/>
      <c r="AO238" s="70"/>
      <c r="AP238" s="71"/>
    </row>
    <row r="239" spans="1:42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AG239" s="33"/>
      <c r="AH239" s="67"/>
      <c r="AI239" s="81"/>
      <c r="AJ239" s="69"/>
      <c r="AK239" s="67"/>
      <c r="AL239" s="70"/>
      <c r="AM239" s="70"/>
      <c r="AN239" s="80"/>
      <c r="AO239" s="70"/>
      <c r="AP239" s="71"/>
    </row>
    <row r="240" spans="1:42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AG240" s="33"/>
      <c r="AH240" s="67"/>
      <c r="AI240" s="81"/>
      <c r="AJ240" s="69"/>
      <c r="AK240" s="67"/>
      <c r="AL240" s="70"/>
      <c r="AM240" s="70"/>
      <c r="AN240" s="80"/>
      <c r="AO240" s="70"/>
      <c r="AP240" s="71"/>
    </row>
    <row r="241" spans="1:42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AG241" s="33"/>
      <c r="AH241" s="67"/>
      <c r="AI241" s="81"/>
      <c r="AJ241" s="69"/>
      <c r="AK241" s="67"/>
      <c r="AL241" s="70"/>
      <c r="AM241" s="70"/>
      <c r="AN241" s="80"/>
      <c r="AO241" s="70"/>
      <c r="AP241" s="71"/>
    </row>
    <row r="242" spans="1:42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AG242" s="33"/>
      <c r="AH242" s="67"/>
      <c r="AI242" s="81"/>
      <c r="AJ242" s="69"/>
      <c r="AK242" s="67"/>
      <c r="AL242" s="70"/>
      <c r="AM242" s="70"/>
      <c r="AN242" s="80"/>
      <c r="AO242" s="70"/>
      <c r="AP242" s="71"/>
    </row>
    <row r="243" spans="1:42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AG243" s="33"/>
      <c r="AH243" s="67"/>
      <c r="AI243" s="81"/>
      <c r="AJ243" s="69"/>
      <c r="AK243" s="67"/>
      <c r="AL243" s="70"/>
      <c r="AM243" s="70"/>
      <c r="AN243" s="80"/>
      <c r="AO243" s="70"/>
      <c r="AP243" s="71"/>
    </row>
    <row r="244" spans="1:42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AG244" s="33"/>
      <c r="AH244" s="67"/>
      <c r="AI244" s="81"/>
      <c r="AJ244" s="69"/>
      <c r="AK244" s="67"/>
      <c r="AL244" s="70"/>
      <c r="AM244" s="70"/>
      <c r="AN244" s="80"/>
      <c r="AO244" s="70"/>
      <c r="AP244" s="71"/>
    </row>
    <row r="245" spans="1:42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AG245" s="33"/>
      <c r="AH245" s="67"/>
      <c r="AI245" s="79"/>
      <c r="AJ245" s="69"/>
      <c r="AK245" s="67"/>
      <c r="AL245" s="70"/>
      <c r="AM245" s="70"/>
      <c r="AN245" s="80"/>
      <c r="AO245" s="70"/>
      <c r="AP245" s="71"/>
    </row>
    <row r="246" spans="1:42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AG246" s="33"/>
      <c r="AH246" s="67"/>
      <c r="AI246" s="79"/>
      <c r="AJ246" s="69"/>
      <c r="AK246" s="67"/>
      <c r="AL246" s="70"/>
      <c r="AM246" s="70"/>
      <c r="AN246" s="80"/>
      <c r="AO246" s="70"/>
      <c r="AP246" s="71"/>
    </row>
    <row r="247" spans="1:42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AG247" s="33"/>
      <c r="AH247" s="67"/>
      <c r="AI247" s="79"/>
      <c r="AJ247" s="69"/>
      <c r="AK247" s="67"/>
      <c r="AL247" s="70"/>
      <c r="AM247" s="70"/>
      <c r="AN247" s="80"/>
      <c r="AO247" s="70"/>
      <c r="AP247" s="71"/>
    </row>
    <row r="248" spans="1:42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AG248" s="33"/>
      <c r="AH248" s="67"/>
      <c r="AI248" s="79"/>
      <c r="AJ248" s="69"/>
      <c r="AK248" s="67"/>
      <c r="AL248" s="70"/>
      <c r="AM248" s="70"/>
      <c r="AN248" s="80"/>
      <c r="AO248" s="70"/>
      <c r="AP248" s="71"/>
    </row>
    <row r="249" spans="1:42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AG249" s="33"/>
      <c r="AH249" s="67"/>
      <c r="AI249" s="79"/>
      <c r="AJ249" s="69"/>
      <c r="AK249" s="67"/>
      <c r="AL249" s="70"/>
      <c r="AM249" s="70"/>
      <c r="AN249" s="80"/>
      <c r="AO249" s="70"/>
      <c r="AP249" s="71"/>
    </row>
    <row r="250" spans="1:42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AG250" s="33"/>
      <c r="AH250" s="67"/>
      <c r="AI250" s="82"/>
      <c r="AJ250" s="82"/>
      <c r="AK250" s="67"/>
      <c r="AL250" s="70"/>
      <c r="AM250" s="67"/>
      <c r="AN250" s="83"/>
      <c r="AO250" s="70"/>
      <c r="AP250" s="71"/>
    </row>
    <row r="251" spans="1:42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AG251" s="33"/>
      <c r="AH251" s="67"/>
      <c r="AI251" s="82"/>
      <c r="AJ251" s="82"/>
      <c r="AK251" s="67"/>
      <c r="AL251" s="70"/>
      <c r="AM251" s="67"/>
      <c r="AN251" s="83"/>
      <c r="AO251" s="70"/>
      <c r="AP251" s="71"/>
    </row>
    <row r="252" spans="1:42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AG252" s="33"/>
      <c r="AH252" s="67"/>
      <c r="AI252" s="82"/>
      <c r="AJ252" s="82"/>
      <c r="AK252" s="67"/>
      <c r="AL252" s="70"/>
      <c r="AM252" s="67"/>
      <c r="AN252" s="83"/>
      <c r="AO252" s="70"/>
      <c r="AP252" s="71"/>
    </row>
    <row r="253" spans="1:42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AG253" s="33"/>
      <c r="AH253" s="67"/>
      <c r="AI253" s="82"/>
      <c r="AJ253" s="82"/>
      <c r="AK253" s="67"/>
      <c r="AL253" s="70"/>
      <c r="AM253" s="67"/>
      <c r="AN253" s="83"/>
      <c r="AO253" s="84"/>
      <c r="AP253" s="71"/>
    </row>
    <row r="254" spans="1:42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AG254" s="33"/>
      <c r="AH254" s="67"/>
      <c r="AI254" s="82"/>
      <c r="AJ254" s="82"/>
      <c r="AK254" s="67"/>
      <c r="AL254" s="70"/>
      <c r="AM254" s="67"/>
      <c r="AN254" s="83"/>
      <c r="AO254" s="84"/>
      <c r="AP254" s="71"/>
    </row>
    <row r="255" spans="1:42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AG255" s="33"/>
      <c r="AH255" s="67"/>
      <c r="AI255" s="82"/>
      <c r="AJ255" s="82"/>
      <c r="AK255" s="67"/>
      <c r="AL255" s="70"/>
      <c r="AM255" s="67"/>
      <c r="AN255" s="83"/>
      <c r="AO255" s="84"/>
      <c r="AP255" s="71"/>
    </row>
    <row r="256" spans="1:42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AG256" s="33"/>
      <c r="AH256" s="67"/>
      <c r="AI256" s="82"/>
      <c r="AJ256" s="82"/>
      <c r="AK256" s="67"/>
      <c r="AL256" s="70"/>
      <c r="AM256" s="67"/>
      <c r="AN256" s="83"/>
      <c r="AO256" s="84"/>
      <c r="AP256" s="71"/>
    </row>
    <row r="257" spans="1:42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AG257" s="33"/>
      <c r="AH257" s="67"/>
      <c r="AI257" s="82"/>
      <c r="AJ257" s="82"/>
      <c r="AK257" s="67"/>
      <c r="AL257" s="70"/>
      <c r="AM257" s="67"/>
      <c r="AN257" s="83"/>
      <c r="AO257" s="84"/>
      <c r="AP257" s="71"/>
    </row>
    <row r="258" spans="1:42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AG258" s="33"/>
      <c r="AH258" s="67"/>
      <c r="AI258" s="82"/>
      <c r="AJ258" s="82"/>
      <c r="AK258" s="67"/>
      <c r="AL258" s="70"/>
      <c r="AM258" s="67"/>
      <c r="AN258" s="83"/>
      <c r="AO258" s="70"/>
      <c r="AP258" s="71"/>
    </row>
    <row r="259" spans="1:42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AG259" s="33"/>
      <c r="AH259" s="67"/>
      <c r="AI259" s="82"/>
      <c r="AJ259" s="82"/>
      <c r="AK259" s="67"/>
      <c r="AL259" s="70"/>
      <c r="AM259" s="67"/>
      <c r="AN259" s="71"/>
      <c r="AO259" s="84"/>
      <c r="AP259" s="71"/>
    </row>
    <row r="260" spans="1:42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AG260" s="33"/>
      <c r="AH260" s="67"/>
      <c r="AI260" s="82"/>
      <c r="AJ260" s="82"/>
      <c r="AK260" s="67"/>
      <c r="AL260" s="70"/>
      <c r="AM260" s="67"/>
      <c r="AN260" s="83"/>
      <c r="AO260" s="84"/>
      <c r="AP260" s="71"/>
    </row>
    <row r="261" spans="1:42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AG261" s="33"/>
      <c r="AH261" s="67"/>
      <c r="AI261" s="82"/>
      <c r="AJ261" s="82"/>
      <c r="AK261" s="67"/>
      <c r="AL261" s="70"/>
      <c r="AM261" s="67"/>
      <c r="AN261" s="83"/>
      <c r="AO261" s="84"/>
      <c r="AP261" s="71"/>
    </row>
    <row r="262" spans="1:42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AG262" s="33"/>
      <c r="AH262" s="67"/>
      <c r="AI262" s="82"/>
      <c r="AJ262" s="82"/>
      <c r="AK262" s="67"/>
      <c r="AL262" s="70"/>
      <c r="AM262" s="67"/>
      <c r="AN262" s="83"/>
      <c r="AO262" s="84"/>
      <c r="AP262" s="71"/>
    </row>
    <row r="263" spans="1:42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AG263" s="33"/>
      <c r="AH263" s="67"/>
      <c r="AI263" s="82"/>
      <c r="AJ263" s="82"/>
      <c r="AK263" s="67"/>
      <c r="AL263" s="70"/>
      <c r="AM263" s="67"/>
      <c r="AN263" s="83"/>
      <c r="AO263" s="84"/>
      <c r="AP263" s="71"/>
    </row>
    <row r="264" spans="1:42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AG264" s="33"/>
      <c r="AH264" s="67"/>
      <c r="AI264" s="82"/>
      <c r="AJ264" s="82"/>
      <c r="AK264" s="67"/>
      <c r="AL264" s="70"/>
      <c r="AM264" s="67"/>
      <c r="AN264" s="83"/>
      <c r="AO264" s="70"/>
      <c r="AP264" s="71"/>
    </row>
    <row r="265" spans="1:42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AG265" s="33"/>
      <c r="AH265" s="67"/>
      <c r="AI265" s="82"/>
      <c r="AJ265" s="82"/>
      <c r="AK265" s="67"/>
      <c r="AL265" s="70"/>
      <c r="AM265" s="67"/>
      <c r="AN265" s="83"/>
      <c r="AO265" s="84"/>
      <c r="AP265" s="71"/>
    </row>
    <row r="266" spans="1:42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AG266" s="33"/>
      <c r="AH266" s="67"/>
      <c r="AI266" s="82"/>
      <c r="AJ266" s="82"/>
      <c r="AK266" s="67"/>
      <c r="AL266" s="70"/>
      <c r="AM266" s="67"/>
      <c r="AN266" s="83"/>
      <c r="AO266" s="84"/>
      <c r="AP266" s="71"/>
    </row>
    <row r="267" spans="1:42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AG267" s="33"/>
      <c r="AH267" s="67"/>
      <c r="AI267" s="82"/>
      <c r="AJ267" s="82"/>
      <c r="AK267" s="67"/>
      <c r="AL267" s="70"/>
      <c r="AM267" s="67"/>
      <c r="AN267" s="83"/>
      <c r="AO267" s="84"/>
      <c r="AP267" s="71"/>
    </row>
    <row r="268" spans="1:42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AG268" s="33"/>
      <c r="AH268" s="67"/>
      <c r="AI268" s="82"/>
      <c r="AJ268" s="82"/>
      <c r="AK268" s="67"/>
      <c r="AL268" s="70"/>
      <c r="AM268" s="67"/>
      <c r="AN268" s="83"/>
      <c r="AO268" s="84"/>
      <c r="AP268" s="71"/>
    </row>
    <row r="269" spans="1:42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AG269" s="33"/>
      <c r="AH269" s="67"/>
      <c r="AI269" s="82"/>
      <c r="AJ269" s="82"/>
      <c r="AK269" s="67"/>
      <c r="AL269" s="70"/>
      <c r="AM269" s="67"/>
      <c r="AN269" s="83"/>
      <c r="AO269" s="84"/>
      <c r="AP269" s="71"/>
    </row>
    <row r="270" spans="1:42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AG270" s="33"/>
      <c r="AH270" s="67"/>
      <c r="AI270" s="82"/>
      <c r="AJ270" s="82"/>
      <c r="AK270" s="67"/>
      <c r="AL270" s="70"/>
      <c r="AM270" s="67"/>
      <c r="AN270" s="83"/>
      <c r="AO270" s="84"/>
      <c r="AP270" s="71"/>
    </row>
    <row r="271" spans="1:42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AG271" s="33"/>
      <c r="AH271" s="67"/>
      <c r="AI271" s="82"/>
      <c r="AJ271" s="82"/>
      <c r="AK271" s="67"/>
      <c r="AL271" s="70"/>
      <c r="AM271" s="67"/>
      <c r="AN271" s="83"/>
      <c r="AO271" s="84"/>
      <c r="AP271" s="71"/>
    </row>
    <row r="272" spans="1:42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AG272" s="33"/>
      <c r="AH272" s="67"/>
      <c r="AI272" s="82"/>
      <c r="AJ272" s="82"/>
      <c r="AK272" s="67"/>
      <c r="AL272" s="70"/>
      <c r="AM272" s="67"/>
      <c r="AN272" s="83"/>
      <c r="AO272" s="84"/>
      <c r="AP272" s="71"/>
    </row>
    <row r="273" spans="1:42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AG273" s="33"/>
      <c r="AH273" s="67"/>
      <c r="AI273" s="82"/>
      <c r="AJ273" s="82"/>
      <c r="AK273" s="67"/>
      <c r="AL273" s="70"/>
      <c r="AM273" s="67"/>
      <c r="AN273" s="83"/>
      <c r="AO273" s="71"/>
      <c r="AP273" s="71"/>
    </row>
    <row r="274" spans="1:42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AG274" s="33"/>
      <c r="AH274" s="67"/>
      <c r="AI274" s="82"/>
      <c r="AJ274" s="82"/>
      <c r="AK274" s="67"/>
      <c r="AL274" s="70"/>
      <c r="AM274" s="67"/>
      <c r="AN274" s="83"/>
      <c r="AO274" s="71"/>
      <c r="AP274" s="71"/>
    </row>
    <row r="275" spans="1:42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AG275" s="33"/>
      <c r="AH275" s="67"/>
      <c r="AI275" s="82"/>
      <c r="AJ275" s="82"/>
      <c r="AK275" s="67"/>
      <c r="AL275" s="70"/>
      <c r="AM275" s="67"/>
      <c r="AN275" s="83"/>
      <c r="AO275" s="71"/>
      <c r="AP275" s="71"/>
    </row>
    <row r="276" spans="1:42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AG276" s="33"/>
      <c r="AH276" s="67"/>
      <c r="AI276" s="82"/>
      <c r="AJ276" s="82"/>
      <c r="AK276" s="67"/>
      <c r="AL276" s="70"/>
      <c r="AM276" s="67"/>
      <c r="AN276" s="83"/>
      <c r="AO276" s="71"/>
      <c r="AP276" s="71"/>
    </row>
    <row r="277" spans="1:42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AG277" s="33"/>
      <c r="AH277" s="67"/>
      <c r="AI277" s="82"/>
      <c r="AJ277" s="82"/>
      <c r="AK277" s="67"/>
      <c r="AL277" s="70"/>
      <c r="AM277" s="67"/>
      <c r="AN277" s="83"/>
      <c r="AO277" s="71"/>
      <c r="AP277" s="71"/>
    </row>
    <row r="278" spans="1:42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AG278" s="33"/>
      <c r="AH278" s="67"/>
      <c r="AI278" s="82"/>
      <c r="AJ278" s="82"/>
      <c r="AK278" s="67"/>
      <c r="AL278" s="70"/>
      <c r="AM278" s="67"/>
      <c r="AN278" s="83"/>
      <c r="AO278" s="71"/>
      <c r="AP278" s="71"/>
    </row>
    <row r="279" spans="1:42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AG279" s="33"/>
      <c r="AH279" s="67"/>
      <c r="AI279" s="82"/>
      <c r="AJ279" s="82"/>
      <c r="AK279" s="67"/>
      <c r="AL279" s="70"/>
      <c r="AM279" s="67"/>
      <c r="AN279" s="83"/>
      <c r="AO279" s="71"/>
      <c r="AP279" s="71"/>
    </row>
    <row r="280" spans="1:42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AG280" s="33"/>
      <c r="AH280" s="67"/>
      <c r="AI280" s="82"/>
      <c r="AJ280" s="82"/>
      <c r="AK280" s="67"/>
      <c r="AL280" s="70"/>
      <c r="AM280" s="67"/>
      <c r="AN280" s="83"/>
      <c r="AO280" s="71"/>
      <c r="AP280" s="71"/>
    </row>
    <row r="281" spans="1:42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AG281" s="33"/>
      <c r="AH281" s="67"/>
      <c r="AI281" s="82"/>
      <c r="AJ281" s="82"/>
      <c r="AK281" s="67"/>
      <c r="AL281" s="70"/>
      <c r="AM281" s="67"/>
      <c r="AN281" s="83"/>
      <c r="AO281" s="71"/>
      <c r="AP281" s="71"/>
    </row>
    <row r="282" spans="1:42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AG282" s="33"/>
      <c r="AH282" s="67"/>
      <c r="AI282" s="82"/>
      <c r="AJ282" s="82"/>
      <c r="AK282" s="67"/>
      <c r="AL282" s="70"/>
      <c r="AM282" s="67"/>
      <c r="AN282" s="83"/>
      <c r="AO282" s="71"/>
      <c r="AP282" s="71"/>
    </row>
    <row r="283" spans="1:42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AG283" s="33"/>
      <c r="AH283" s="67"/>
      <c r="AI283" s="82"/>
      <c r="AJ283" s="82"/>
      <c r="AK283" s="67"/>
      <c r="AL283" s="70"/>
      <c r="AM283" s="67"/>
      <c r="AN283" s="83"/>
      <c r="AO283" s="71"/>
      <c r="AP283" s="71"/>
    </row>
    <row r="284" spans="1:42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AG284" s="33"/>
      <c r="AH284" s="67"/>
      <c r="AI284" s="82"/>
      <c r="AJ284" s="82"/>
      <c r="AK284" s="67"/>
      <c r="AL284" s="70"/>
      <c r="AM284" s="67"/>
      <c r="AN284" s="83"/>
      <c r="AO284" s="71"/>
      <c r="AP284" s="71"/>
    </row>
    <row r="285" spans="1:42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AG285" s="33"/>
      <c r="AH285" s="67"/>
      <c r="AI285" s="82"/>
      <c r="AJ285" s="82"/>
      <c r="AK285" s="67"/>
      <c r="AL285" s="70"/>
      <c r="AM285" s="67"/>
      <c r="AN285" s="83"/>
      <c r="AO285" s="71"/>
      <c r="AP285" s="71"/>
    </row>
    <row r="286" spans="1:42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AG286" s="33"/>
      <c r="AH286" s="67"/>
      <c r="AI286" s="82"/>
      <c r="AJ286" s="82"/>
      <c r="AK286" s="67"/>
      <c r="AL286" s="70"/>
      <c r="AM286" s="67"/>
      <c r="AN286" s="83"/>
      <c r="AO286" s="71"/>
      <c r="AP286" s="71"/>
    </row>
    <row r="287" spans="1:42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AG287" s="33"/>
      <c r="AH287" s="67"/>
      <c r="AI287" s="82"/>
      <c r="AJ287" s="82"/>
      <c r="AK287" s="67"/>
      <c r="AL287" s="70"/>
      <c r="AM287" s="67"/>
      <c r="AN287" s="83"/>
      <c r="AO287" s="71"/>
      <c r="AP287" s="71"/>
    </row>
    <row r="288" spans="1:42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AG288" s="33"/>
      <c r="AH288" s="67"/>
      <c r="AI288" s="82"/>
      <c r="AJ288" s="82"/>
      <c r="AK288" s="67"/>
      <c r="AL288" s="70"/>
      <c r="AM288" s="67"/>
      <c r="AN288" s="83"/>
      <c r="AO288" s="71"/>
      <c r="AP288" s="71"/>
    </row>
    <row r="289" spans="1:42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AG289" s="33"/>
      <c r="AH289" s="67"/>
      <c r="AI289" s="82"/>
      <c r="AJ289" s="82"/>
      <c r="AK289" s="67"/>
      <c r="AL289" s="70"/>
      <c r="AM289" s="67"/>
      <c r="AN289" s="83"/>
      <c r="AO289" s="71"/>
      <c r="AP289" s="71"/>
    </row>
    <row r="290" spans="1:42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AG290" s="33"/>
      <c r="AH290" s="67"/>
      <c r="AI290" s="82"/>
      <c r="AJ290" s="82"/>
      <c r="AK290" s="67"/>
      <c r="AL290" s="70"/>
      <c r="AM290" s="67"/>
      <c r="AN290" s="83"/>
      <c r="AO290" s="71"/>
      <c r="AP290" s="71"/>
    </row>
    <row r="291" spans="1:42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AG291" s="33"/>
      <c r="AH291" s="67"/>
      <c r="AI291" s="82"/>
      <c r="AJ291" s="82"/>
      <c r="AK291" s="67"/>
      <c r="AL291" s="70"/>
      <c r="AM291" s="67"/>
      <c r="AN291" s="83"/>
      <c r="AO291" s="71"/>
      <c r="AP291" s="71"/>
    </row>
    <row r="292" spans="1:42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AG292" s="33"/>
      <c r="AH292" s="67"/>
      <c r="AI292" s="82"/>
      <c r="AJ292" s="82"/>
      <c r="AK292" s="67"/>
      <c r="AL292" s="70"/>
      <c r="AM292" s="67"/>
      <c r="AN292" s="83"/>
      <c r="AO292" s="71"/>
      <c r="AP292" s="71"/>
    </row>
    <row r="293" spans="1:42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AG293" s="33"/>
      <c r="AH293" s="67"/>
      <c r="AI293" s="82"/>
      <c r="AJ293" s="82"/>
      <c r="AK293" s="67"/>
      <c r="AL293" s="70"/>
      <c r="AM293" s="67"/>
      <c r="AN293" s="83"/>
      <c r="AO293" s="71"/>
      <c r="AP293" s="71"/>
    </row>
    <row r="294" spans="1:42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AG294" s="33"/>
      <c r="AH294" s="67"/>
      <c r="AI294" s="82"/>
      <c r="AJ294" s="82"/>
      <c r="AK294" s="67"/>
      <c r="AL294" s="70"/>
      <c r="AM294" s="67"/>
      <c r="AN294" s="83"/>
      <c r="AO294" s="71"/>
      <c r="AP294" s="71"/>
    </row>
    <row r="295" spans="1:42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AG295" s="33"/>
      <c r="AH295" s="67"/>
      <c r="AI295" s="82"/>
      <c r="AJ295" s="82"/>
      <c r="AK295" s="67"/>
      <c r="AL295" s="70"/>
      <c r="AM295" s="67"/>
      <c r="AN295" s="83"/>
      <c r="AO295" s="71"/>
      <c r="AP295" s="71"/>
    </row>
    <row r="296" spans="1:42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AG296" s="33"/>
      <c r="AH296" s="67"/>
      <c r="AI296" s="82"/>
      <c r="AJ296" s="82"/>
      <c r="AK296" s="67"/>
      <c r="AL296" s="70"/>
      <c r="AM296" s="67"/>
      <c r="AN296" s="83"/>
      <c r="AO296" s="71"/>
      <c r="AP296" s="71"/>
    </row>
    <row r="297" spans="1:42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AG297" s="33"/>
      <c r="AH297" s="67"/>
      <c r="AI297" s="82"/>
      <c r="AJ297" s="82"/>
      <c r="AK297" s="67"/>
      <c r="AL297" s="70"/>
      <c r="AM297" s="67"/>
      <c r="AN297" s="83"/>
      <c r="AO297" s="71"/>
      <c r="AP297" s="71"/>
    </row>
    <row r="298" spans="1:42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AG298" s="33"/>
      <c r="AH298" s="67"/>
      <c r="AI298" s="82"/>
      <c r="AJ298" s="82"/>
      <c r="AK298" s="67"/>
      <c r="AL298" s="70"/>
      <c r="AM298" s="67"/>
      <c r="AN298" s="83"/>
      <c r="AO298" s="83"/>
      <c r="AP298" s="71"/>
    </row>
    <row r="299" spans="1:42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AG299" s="33"/>
      <c r="AH299" s="67"/>
      <c r="AI299" s="82"/>
      <c r="AJ299" s="82"/>
      <c r="AK299" s="67"/>
      <c r="AL299" s="70"/>
      <c r="AM299" s="67"/>
      <c r="AN299" s="83"/>
      <c r="AO299" s="83"/>
      <c r="AP299" s="71"/>
    </row>
    <row r="300" spans="1:42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AG300" s="33"/>
      <c r="AH300" s="67"/>
      <c r="AI300" s="82"/>
      <c r="AJ300" s="82"/>
      <c r="AK300" s="67"/>
      <c r="AL300" s="70"/>
      <c r="AM300" s="67"/>
      <c r="AN300" s="83"/>
      <c r="AO300" s="83"/>
      <c r="AP300" s="71"/>
    </row>
    <row r="301" spans="1:42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AG301" s="33"/>
      <c r="AH301" s="67"/>
      <c r="AI301" s="82"/>
      <c r="AJ301" s="82"/>
      <c r="AK301" s="67"/>
      <c r="AL301" s="70"/>
      <c r="AM301" s="67"/>
      <c r="AN301" s="83"/>
      <c r="AO301" s="83"/>
      <c r="AP301" s="71"/>
    </row>
    <row r="302" spans="1:42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AG302" s="33"/>
      <c r="AH302" s="67"/>
      <c r="AI302" s="82"/>
      <c r="AJ302" s="82"/>
      <c r="AK302" s="67"/>
      <c r="AL302" s="70"/>
      <c r="AM302" s="67"/>
      <c r="AN302" s="83"/>
      <c r="AO302" s="83"/>
      <c r="AP302" s="71"/>
    </row>
    <row r="303" spans="1:42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AG303" s="33"/>
      <c r="AH303" s="67"/>
      <c r="AI303" s="82"/>
      <c r="AJ303" s="82"/>
      <c r="AK303" s="67"/>
      <c r="AL303" s="70"/>
      <c r="AM303" s="67"/>
      <c r="AN303" s="83"/>
      <c r="AO303" s="83"/>
      <c r="AP303" s="71"/>
    </row>
    <row r="304" spans="1:42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AG304" s="33"/>
      <c r="AH304" s="67"/>
      <c r="AI304" s="82"/>
      <c r="AJ304" s="82"/>
      <c r="AK304" s="67"/>
      <c r="AL304" s="70"/>
      <c r="AM304" s="67"/>
      <c r="AN304" s="83"/>
      <c r="AO304" s="83"/>
      <c r="AP304" s="71"/>
    </row>
    <row r="305" spans="1:42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AG305" s="33"/>
      <c r="AH305" s="67"/>
      <c r="AI305" s="82"/>
      <c r="AJ305" s="82"/>
      <c r="AK305" s="67"/>
      <c r="AL305" s="70"/>
      <c r="AM305" s="67"/>
      <c r="AN305" s="83"/>
      <c r="AO305" s="83"/>
      <c r="AP305" s="71"/>
    </row>
    <row r="306" spans="1:42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AG306" s="33"/>
      <c r="AH306" s="67"/>
      <c r="AI306" s="82"/>
      <c r="AJ306" s="82"/>
      <c r="AK306" s="67"/>
      <c r="AL306" s="70"/>
      <c r="AM306" s="67"/>
      <c r="AN306" s="83"/>
      <c r="AO306" s="83"/>
      <c r="AP306" s="71"/>
    </row>
    <row r="307" spans="1:42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AG307" s="33"/>
      <c r="AH307" s="67"/>
      <c r="AI307" s="82"/>
      <c r="AJ307" s="82"/>
      <c r="AK307" s="67"/>
      <c r="AL307" s="70"/>
      <c r="AM307" s="67"/>
      <c r="AN307" s="83"/>
      <c r="AO307" s="83"/>
      <c r="AP307" s="71"/>
    </row>
    <row r="308" spans="1:42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AG308" s="33"/>
      <c r="AH308" s="67"/>
      <c r="AI308" s="82"/>
      <c r="AJ308" s="82"/>
      <c r="AK308" s="67"/>
      <c r="AL308" s="70"/>
      <c r="AM308" s="67"/>
      <c r="AN308" s="83"/>
      <c r="AO308" s="83"/>
      <c r="AP308" s="71"/>
    </row>
    <row r="309" spans="1:42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AG309" s="33"/>
      <c r="AH309" s="67"/>
      <c r="AI309" s="82"/>
      <c r="AJ309" s="82"/>
      <c r="AK309" s="67"/>
      <c r="AL309" s="70"/>
      <c r="AM309" s="67"/>
      <c r="AN309" s="83"/>
      <c r="AO309" s="83"/>
      <c r="AP309" s="71"/>
    </row>
    <row r="310" spans="1:42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AG310" s="33"/>
      <c r="AH310" s="67"/>
      <c r="AI310" s="82"/>
      <c r="AJ310" s="82"/>
      <c r="AK310" s="67"/>
      <c r="AL310" s="70"/>
      <c r="AM310" s="67"/>
      <c r="AN310" s="83"/>
      <c r="AO310" s="83"/>
      <c r="AP310" s="71"/>
    </row>
    <row r="311" spans="1:42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AG311" s="33"/>
      <c r="AH311" s="67"/>
      <c r="AI311" s="82"/>
      <c r="AJ311" s="82"/>
      <c r="AK311" s="67"/>
      <c r="AL311" s="70"/>
      <c r="AM311" s="67"/>
      <c r="AN311" s="83"/>
      <c r="AO311" s="83"/>
      <c r="AP311" s="71"/>
    </row>
    <row r="312" spans="1:42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AG312" s="33"/>
      <c r="AH312" s="67"/>
      <c r="AI312" s="82"/>
      <c r="AJ312" s="82"/>
      <c r="AK312" s="67"/>
      <c r="AL312" s="70"/>
      <c r="AM312" s="67"/>
      <c r="AN312" s="83"/>
      <c r="AO312" s="83"/>
      <c r="AP312" s="71"/>
    </row>
    <row r="313" spans="1:42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AG313" s="33"/>
      <c r="AH313" s="67"/>
      <c r="AI313" s="79"/>
      <c r="AJ313" s="79"/>
      <c r="AK313" s="67"/>
      <c r="AL313" s="85"/>
      <c r="AM313" s="85"/>
      <c r="AN313" s="67"/>
      <c r="AO313" s="70"/>
      <c r="AP313" s="67"/>
    </row>
    <row r="314" spans="1:42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AG314" s="33"/>
      <c r="AH314" s="67"/>
      <c r="AI314" s="79"/>
      <c r="AJ314" s="79"/>
      <c r="AK314" s="67"/>
      <c r="AL314" s="85"/>
      <c r="AM314" s="85"/>
      <c r="AN314" s="67"/>
      <c r="AO314" s="70"/>
      <c r="AP314" s="67"/>
    </row>
    <row r="315" spans="1:42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AG315" s="33"/>
      <c r="AH315" s="67"/>
      <c r="AI315" s="79"/>
      <c r="AJ315" s="79"/>
      <c r="AK315" s="67"/>
      <c r="AL315" s="85"/>
      <c r="AM315" s="85"/>
      <c r="AN315" s="67"/>
      <c r="AO315" s="70"/>
      <c r="AP315" s="67"/>
    </row>
    <row r="316" spans="1:42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AG316" s="33"/>
      <c r="AH316" s="67"/>
      <c r="AI316" s="79"/>
      <c r="AJ316" s="79"/>
      <c r="AK316" s="67"/>
      <c r="AL316" s="85"/>
      <c r="AM316" s="85"/>
      <c r="AN316" s="67"/>
      <c r="AO316" s="70"/>
      <c r="AP316" s="67"/>
    </row>
    <row r="317" spans="1:42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AG317" s="33"/>
      <c r="AH317" s="67"/>
      <c r="AI317" s="79"/>
      <c r="AJ317" s="79"/>
      <c r="AK317" s="67"/>
      <c r="AL317" s="85"/>
      <c r="AM317" s="85"/>
      <c r="AN317" s="67"/>
      <c r="AO317" s="70"/>
      <c r="AP317" s="67"/>
    </row>
    <row r="318" spans="1:42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AG318" s="33"/>
      <c r="AH318" s="67"/>
      <c r="AI318" s="79"/>
      <c r="AJ318" s="79"/>
      <c r="AK318" s="67"/>
      <c r="AL318" s="85"/>
      <c r="AM318" s="85"/>
      <c r="AN318" s="67"/>
      <c r="AO318" s="70"/>
      <c r="AP318" s="67"/>
    </row>
    <row r="319" spans="1:42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AG319" s="33"/>
      <c r="AH319" s="67"/>
      <c r="AI319" s="79"/>
      <c r="AJ319" s="79"/>
      <c r="AK319" s="67"/>
      <c r="AL319" s="85"/>
      <c r="AM319" s="85"/>
      <c r="AN319" s="67"/>
      <c r="AO319" s="70"/>
      <c r="AP319" s="67"/>
    </row>
    <row r="320" spans="1:42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AG320" s="33"/>
      <c r="AH320" s="67"/>
      <c r="AI320" s="79"/>
      <c r="AJ320" s="79"/>
      <c r="AK320" s="67"/>
      <c r="AL320" s="85"/>
      <c r="AM320" s="85"/>
      <c r="AN320" s="67"/>
      <c r="AO320" s="70"/>
      <c r="AP320" s="67"/>
    </row>
    <row r="321" spans="1:42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AG321" s="33"/>
      <c r="AH321" s="67"/>
      <c r="AI321" s="79"/>
      <c r="AJ321" s="79"/>
      <c r="AK321" s="67"/>
      <c r="AL321" s="85"/>
      <c r="AM321" s="85"/>
      <c r="AN321" s="67"/>
      <c r="AO321" s="70"/>
      <c r="AP321" s="67"/>
    </row>
    <row r="322" spans="1:42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AG322" s="33"/>
      <c r="AH322" s="67"/>
      <c r="AI322" s="79"/>
      <c r="AJ322" s="79"/>
      <c r="AK322" s="67"/>
      <c r="AL322" s="85"/>
      <c r="AM322" s="85"/>
      <c r="AN322" s="67"/>
      <c r="AO322" s="70"/>
      <c r="AP322" s="67"/>
    </row>
    <row r="323" spans="1:42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AG323" s="33"/>
      <c r="AH323" s="67"/>
      <c r="AI323" s="79"/>
      <c r="AJ323" s="79"/>
      <c r="AK323" s="67"/>
      <c r="AL323" s="85"/>
      <c r="AM323" s="85"/>
      <c r="AN323" s="67"/>
      <c r="AO323" s="70"/>
      <c r="AP323" s="67"/>
    </row>
    <row r="324" spans="1:42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AG324" s="33"/>
      <c r="AH324" s="67"/>
      <c r="AI324" s="79"/>
      <c r="AJ324" s="79"/>
      <c r="AK324" s="67"/>
      <c r="AL324" s="85"/>
      <c r="AM324" s="85"/>
      <c r="AN324" s="67"/>
      <c r="AO324" s="70"/>
      <c r="AP324" s="67"/>
    </row>
    <row r="325" spans="1:42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AG325" s="33"/>
      <c r="AH325" s="67"/>
      <c r="AI325" s="79"/>
      <c r="AJ325" s="79"/>
      <c r="AK325" s="67"/>
      <c r="AL325" s="85"/>
      <c r="AM325" s="85"/>
      <c r="AN325" s="67"/>
      <c r="AO325" s="70"/>
      <c r="AP325" s="67"/>
    </row>
    <row r="326" spans="1:42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AG326" s="33"/>
      <c r="AH326" s="67"/>
      <c r="AI326" s="79"/>
      <c r="AJ326" s="79"/>
      <c r="AK326" s="67"/>
      <c r="AL326" s="85"/>
      <c r="AM326" s="85"/>
      <c r="AN326" s="67"/>
      <c r="AO326" s="70"/>
      <c r="AP326" s="67"/>
    </row>
    <row r="327" spans="1:42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AG327" s="33"/>
      <c r="AH327" s="67"/>
      <c r="AI327" s="79"/>
      <c r="AJ327" s="79"/>
      <c r="AK327" s="67"/>
      <c r="AL327" s="85"/>
      <c r="AM327" s="85"/>
      <c r="AN327" s="67"/>
      <c r="AO327" s="70"/>
      <c r="AP327" s="67"/>
    </row>
    <row r="328" spans="1:42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AG328" s="33"/>
      <c r="AH328" s="86"/>
      <c r="AI328" s="87"/>
      <c r="AJ328" s="87"/>
      <c r="AK328" s="67"/>
      <c r="AL328" s="85"/>
      <c r="AM328" s="85"/>
      <c r="AN328" s="85"/>
      <c r="AO328" s="85"/>
      <c r="AP328" s="88"/>
    </row>
    <row r="329" spans="1:42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AG329" s="33"/>
      <c r="AH329" s="86"/>
      <c r="AI329" s="87"/>
      <c r="AJ329" s="87"/>
      <c r="AK329" s="67"/>
      <c r="AL329" s="85"/>
      <c r="AM329" s="85"/>
      <c r="AN329" s="85"/>
      <c r="AO329" s="85"/>
      <c r="AP329" s="88"/>
    </row>
    <row r="330" spans="1:42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AG330" s="33"/>
      <c r="AH330" s="86"/>
      <c r="AI330" s="87"/>
      <c r="AJ330" s="87"/>
      <c r="AK330" s="67"/>
      <c r="AL330" s="85"/>
      <c r="AM330" s="85"/>
      <c r="AN330" s="85"/>
      <c r="AO330" s="85"/>
      <c r="AP330" s="88"/>
    </row>
    <row r="331" spans="1:42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AG331" s="33"/>
      <c r="AH331" s="86"/>
      <c r="AI331" s="87"/>
      <c r="AJ331" s="87"/>
      <c r="AK331" s="67"/>
      <c r="AL331" s="85"/>
      <c r="AM331" s="85"/>
      <c r="AN331" s="85"/>
      <c r="AO331" s="85"/>
      <c r="AP331" s="88"/>
    </row>
    <row r="332" spans="1:42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AG332" s="33"/>
      <c r="AH332" s="86"/>
      <c r="AI332" s="87"/>
      <c r="AJ332" s="87"/>
      <c r="AK332" s="67"/>
      <c r="AL332" s="85"/>
      <c r="AM332" s="85"/>
      <c r="AN332" s="85"/>
      <c r="AO332" s="85"/>
      <c r="AP332" s="88"/>
    </row>
    <row r="333" spans="1:42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AG333" s="33"/>
      <c r="AH333" s="86"/>
      <c r="AI333" s="87"/>
      <c r="AJ333" s="87"/>
      <c r="AK333" s="67"/>
      <c r="AL333" s="85"/>
      <c r="AM333" s="85"/>
      <c r="AN333" s="89"/>
      <c r="AO333" s="89"/>
      <c r="AP333" s="88"/>
    </row>
    <row r="334" spans="1:42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AG334" s="46"/>
      <c r="AH334" s="47"/>
      <c r="AI334" s="47"/>
      <c r="AJ334" s="47"/>
      <c r="AK334" s="131"/>
      <c r="AL334" s="47"/>
      <c r="AM334" s="47"/>
      <c r="AN334" s="47"/>
      <c r="AO334" s="47"/>
      <c r="AP334" s="47"/>
    </row>
    <row r="335" spans="1:42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42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</sheetData>
  <mergeCells count="3">
    <mergeCell ref="AG1:AM1"/>
    <mergeCell ref="A2:T2"/>
    <mergeCell ref="Z1:AC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F0D2D-3B9E-4247-AC3F-F8DDE05E4C63}">
  <sheetPr codeName="Karyawan"/>
  <dimension ref="A1:J14"/>
  <sheetViews>
    <sheetView topLeftCell="D1" zoomScale="70" zoomScaleNormal="70" workbookViewId="0">
      <selection activeCell="J14" sqref="J14"/>
    </sheetView>
  </sheetViews>
  <sheetFormatPr defaultRowHeight="15" x14ac:dyDescent="0.25"/>
  <cols>
    <col min="1" max="1" width="8.140625" customWidth="1"/>
    <col min="2" max="2" width="12" customWidth="1"/>
    <col min="3" max="3" width="31.140625" customWidth="1"/>
    <col min="4" max="4" width="18.7109375" customWidth="1"/>
    <col min="5" max="5" width="48" bestFit="1" customWidth="1"/>
    <col min="6" max="10" width="37" customWidth="1"/>
  </cols>
  <sheetData>
    <row r="1" spans="1:10" ht="18.75" x14ac:dyDescent="0.3">
      <c r="A1" s="181" t="s">
        <v>138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10" ht="18.75" x14ac:dyDescent="0.3">
      <c r="A2" s="91"/>
      <c r="B2" s="92"/>
      <c r="C2" s="92"/>
      <c r="D2" s="93"/>
      <c r="E2" s="92"/>
      <c r="F2" s="93"/>
      <c r="G2" s="93"/>
      <c r="H2" s="93"/>
      <c r="I2" s="93"/>
      <c r="J2" s="93"/>
    </row>
    <row r="3" spans="1:10" x14ac:dyDescent="0.25">
      <c r="A3" s="93"/>
      <c r="B3" s="93"/>
      <c r="C3" s="93"/>
      <c r="D3" s="93"/>
      <c r="E3" s="93"/>
      <c r="F3" s="93"/>
      <c r="G3" s="93"/>
      <c r="H3" s="93"/>
      <c r="I3" s="93"/>
      <c r="J3" s="93"/>
    </row>
    <row r="4" spans="1:10" x14ac:dyDescent="0.25">
      <c r="A4" s="148" t="s">
        <v>37</v>
      </c>
      <c r="B4" s="148" t="s">
        <v>60</v>
      </c>
      <c r="C4" s="148" t="s">
        <v>48</v>
      </c>
      <c r="D4" s="148" t="s">
        <v>116</v>
      </c>
      <c r="E4" s="148" t="s">
        <v>117</v>
      </c>
      <c r="F4" s="148" t="s">
        <v>7</v>
      </c>
      <c r="G4" s="148" t="s">
        <v>33</v>
      </c>
      <c r="H4" s="149" t="s">
        <v>106</v>
      </c>
      <c r="I4" s="148" t="s">
        <v>34</v>
      </c>
      <c r="J4" s="148" t="s">
        <v>119</v>
      </c>
    </row>
    <row r="5" spans="1:10" x14ac:dyDescent="0.25">
      <c r="A5" s="148">
        <v>0</v>
      </c>
      <c r="B5" s="148" t="s">
        <v>43</v>
      </c>
      <c r="C5" s="148" t="s">
        <v>43</v>
      </c>
      <c r="D5" s="148" t="s">
        <v>43</v>
      </c>
      <c r="E5" s="148" t="s">
        <v>43</v>
      </c>
      <c r="F5" s="148" t="s">
        <v>43</v>
      </c>
      <c r="G5" s="148" t="s">
        <v>43</v>
      </c>
      <c r="H5" s="148" t="s">
        <v>43</v>
      </c>
      <c r="I5" s="148" t="s">
        <v>43</v>
      </c>
      <c r="J5" s="148" t="s">
        <v>139</v>
      </c>
    </row>
    <row r="6" spans="1:10" x14ac:dyDescent="0.25">
      <c r="A6" s="148">
        <v>1</v>
      </c>
      <c r="B6" s="150" t="s">
        <v>9</v>
      </c>
      <c r="C6" s="148" t="s">
        <v>140</v>
      </c>
      <c r="D6" s="148" t="s">
        <v>141</v>
      </c>
      <c r="E6" s="148" t="s">
        <v>142</v>
      </c>
      <c r="F6" s="148" t="s">
        <v>143</v>
      </c>
      <c r="G6" s="151" t="s">
        <v>144</v>
      </c>
      <c r="H6" s="148" t="s">
        <v>173</v>
      </c>
      <c r="I6" s="152" t="s">
        <v>177</v>
      </c>
      <c r="J6" s="148" t="s">
        <v>192</v>
      </c>
    </row>
    <row r="7" spans="1:10" x14ac:dyDescent="0.25">
      <c r="A7" s="148">
        <v>2</v>
      </c>
      <c r="B7" s="150" t="s">
        <v>13</v>
      </c>
      <c r="C7" s="153" t="s">
        <v>146</v>
      </c>
      <c r="D7" s="148" t="s">
        <v>178</v>
      </c>
      <c r="E7" s="148" t="s">
        <v>179</v>
      </c>
      <c r="F7" s="153" t="s">
        <v>82</v>
      </c>
      <c r="G7" s="151" t="s">
        <v>181</v>
      </c>
      <c r="H7" s="148" t="s">
        <v>190</v>
      </c>
      <c r="I7" s="152" t="s">
        <v>177</v>
      </c>
      <c r="J7" s="148" t="s">
        <v>139</v>
      </c>
    </row>
    <row r="8" spans="1:10" x14ac:dyDescent="0.25">
      <c r="A8" s="148">
        <v>3</v>
      </c>
      <c r="B8" s="150" t="s">
        <v>14</v>
      </c>
      <c r="C8" s="153" t="s">
        <v>147</v>
      </c>
      <c r="D8" s="148" t="s">
        <v>178</v>
      </c>
      <c r="E8" s="148" t="s">
        <v>180</v>
      </c>
      <c r="F8" s="153" t="s">
        <v>43</v>
      </c>
      <c r="G8" s="151" t="s">
        <v>181</v>
      </c>
      <c r="H8" s="148" t="s">
        <v>190</v>
      </c>
      <c r="I8" s="152" t="s">
        <v>177</v>
      </c>
      <c r="J8" s="148" t="s">
        <v>139</v>
      </c>
    </row>
    <row r="9" spans="1:10" x14ac:dyDescent="0.25">
      <c r="A9" s="148">
        <v>4</v>
      </c>
      <c r="B9" s="150" t="s">
        <v>15</v>
      </c>
      <c r="C9" s="153" t="s">
        <v>148</v>
      </c>
      <c r="D9" s="148" t="s">
        <v>182</v>
      </c>
      <c r="E9" s="148" t="s">
        <v>183</v>
      </c>
      <c r="F9" s="153" t="s">
        <v>83</v>
      </c>
      <c r="G9" s="151" t="s">
        <v>181</v>
      </c>
      <c r="H9" s="148" t="s">
        <v>190</v>
      </c>
      <c r="I9" s="152" t="s">
        <v>177</v>
      </c>
      <c r="J9" s="148" t="s">
        <v>139</v>
      </c>
    </row>
    <row r="10" spans="1:10" x14ac:dyDescent="0.25">
      <c r="A10" s="148">
        <v>5</v>
      </c>
      <c r="B10" s="150" t="s">
        <v>16</v>
      </c>
      <c r="C10" s="153" t="s">
        <v>149</v>
      </c>
      <c r="D10" s="148" t="s">
        <v>178</v>
      </c>
      <c r="E10" s="148" t="s">
        <v>184</v>
      </c>
      <c r="F10" s="153" t="s">
        <v>83</v>
      </c>
      <c r="G10" s="151" t="s">
        <v>181</v>
      </c>
      <c r="H10" s="148" t="s">
        <v>173</v>
      </c>
      <c r="I10" s="152" t="s">
        <v>177</v>
      </c>
      <c r="J10" s="148" t="s">
        <v>139</v>
      </c>
    </row>
    <row r="11" spans="1:10" x14ac:dyDescent="0.25">
      <c r="A11" s="148">
        <v>6</v>
      </c>
      <c r="B11" s="150" t="s">
        <v>17</v>
      </c>
      <c r="C11" s="153" t="s">
        <v>150</v>
      </c>
      <c r="D11" s="148" t="s">
        <v>182</v>
      </c>
      <c r="E11" s="148" t="s">
        <v>185</v>
      </c>
      <c r="F11" s="153" t="s">
        <v>154</v>
      </c>
      <c r="G11" s="151" t="s">
        <v>181</v>
      </c>
      <c r="H11" s="148" t="s">
        <v>173</v>
      </c>
      <c r="I11" s="152" t="s">
        <v>177</v>
      </c>
      <c r="J11" s="148" t="s">
        <v>139</v>
      </c>
    </row>
    <row r="12" spans="1:10" x14ac:dyDescent="0.25">
      <c r="A12" s="148">
        <v>7</v>
      </c>
      <c r="B12" s="150" t="s">
        <v>18</v>
      </c>
      <c r="C12" s="153" t="s">
        <v>151</v>
      </c>
      <c r="D12" s="148" t="s">
        <v>182</v>
      </c>
      <c r="E12" s="148" t="s">
        <v>186</v>
      </c>
      <c r="F12" s="153" t="s">
        <v>44</v>
      </c>
      <c r="G12" s="151" t="s">
        <v>181</v>
      </c>
      <c r="H12" s="148" t="s">
        <v>174</v>
      </c>
      <c r="I12" s="152" t="s">
        <v>177</v>
      </c>
      <c r="J12" s="148" t="s">
        <v>139</v>
      </c>
    </row>
    <row r="13" spans="1:10" x14ac:dyDescent="0.25">
      <c r="A13" s="148">
        <v>8</v>
      </c>
      <c r="B13" s="150" t="s">
        <v>19</v>
      </c>
      <c r="C13" s="153" t="s">
        <v>152</v>
      </c>
      <c r="D13" s="148" t="s">
        <v>178</v>
      </c>
      <c r="E13" s="148" t="s">
        <v>187</v>
      </c>
      <c r="F13" s="153" t="s">
        <v>44</v>
      </c>
      <c r="G13" s="151" t="s">
        <v>181</v>
      </c>
      <c r="H13" s="148" t="s">
        <v>175</v>
      </c>
      <c r="I13" s="152" t="s">
        <v>177</v>
      </c>
      <c r="J13" s="148" t="s">
        <v>193</v>
      </c>
    </row>
    <row r="14" spans="1:10" x14ac:dyDescent="0.25">
      <c r="A14" s="148">
        <v>9</v>
      </c>
      <c r="B14" s="150" t="s">
        <v>20</v>
      </c>
      <c r="C14" s="153" t="s">
        <v>153</v>
      </c>
      <c r="D14" s="148" t="s">
        <v>178</v>
      </c>
      <c r="E14" s="148" t="s">
        <v>184</v>
      </c>
      <c r="F14" s="153" t="s">
        <v>83</v>
      </c>
      <c r="G14" s="151" t="s">
        <v>181</v>
      </c>
      <c r="H14" s="148" t="s">
        <v>191</v>
      </c>
      <c r="I14" s="152" t="s">
        <v>177</v>
      </c>
      <c r="J14" s="148" t="s">
        <v>139</v>
      </c>
    </row>
  </sheetData>
  <mergeCells count="1">
    <mergeCell ref="A1:J1"/>
  </mergeCells>
  <hyperlinks>
    <hyperlink ref="C5" r:id="rId1" display="abc@gmail.com" xr:uid="{20C6C5C4-E0B2-40D4-8950-A2ECEA87242E}"/>
    <hyperlink ref="C3" r:id="rId2" display="taufiqh55@gmail.com" xr:uid="{57E5AF98-82C9-49E8-8E28-A4E37837C1F1}"/>
    <hyperlink ref="G6" r:id="rId3" xr:uid="{3E04F374-A97C-4AFF-9905-FAF7E38DF950}"/>
    <hyperlink ref="G7" r:id="rId4" xr:uid="{8A9B2DF6-1E2F-4409-A9D7-725A1563CAA2}"/>
    <hyperlink ref="G8:G14" r:id="rId5" display="abcd@gmail.com" xr:uid="{7E815412-5155-4DF1-8DC2-AEF2AD28B476}"/>
  </hyperlinks>
  <pageMargins left="0.7" right="0.7" top="0.75" bottom="0.75" header="0.3" footer="0.3"/>
  <pageSetup paperSize="9"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3D19E-343D-4101-9023-083D3546DA48}">
  <sheetPr codeName="BeritaAcara"/>
  <dimension ref="A1:O50"/>
  <sheetViews>
    <sheetView showGridLines="0" view="pageBreakPreview" topLeftCell="A19" zoomScale="70" zoomScaleNormal="70" zoomScaleSheetLayoutView="70" workbookViewId="0">
      <selection activeCell="A21" sqref="A21"/>
    </sheetView>
  </sheetViews>
  <sheetFormatPr defaultRowHeight="15" x14ac:dyDescent="0.25"/>
  <cols>
    <col min="1" max="1" width="3.42578125" customWidth="1"/>
    <col min="2" max="2" width="7.85546875" customWidth="1"/>
    <col min="3" max="3" width="2" bestFit="1" customWidth="1"/>
    <col min="14" max="14" width="17.28515625" bestFit="1" customWidth="1"/>
    <col min="15" max="15" width="8.7109375" bestFit="1" customWidth="1"/>
  </cols>
  <sheetData>
    <row r="1" spans="1:15" x14ac:dyDescent="0.25">
      <c r="A1" s="132"/>
      <c r="B1" s="132"/>
      <c r="C1" s="132"/>
      <c r="D1" s="132"/>
      <c r="E1" s="132"/>
      <c r="F1" s="132"/>
      <c r="G1" s="132"/>
      <c r="H1" s="132"/>
      <c r="I1" s="132"/>
      <c r="J1" s="133"/>
      <c r="K1" s="133"/>
    </row>
    <row r="2" spans="1:15" x14ac:dyDescent="0.25">
      <c r="A2" s="132"/>
      <c r="B2" s="132"/>
      <c r="C2" s="132"/>
      <c r="D2" s="132"/>
      <c r="E2" s="132"/>
      <c r="F2" s="132"/>
      <c r="G2" s="132"/>
      <c r="H2" s="132"/>
      <c r="I2" s="132"/>
      <c r="J2" s="133"/>
      <c r="K2" s="133"/>
    </row>
    <row r="3" spans="1:15" x14ac:dyDescent="0.25">
      <c r="A3" s="132"/>
      <c r="B3" s="132"/>
      <c r="C3" s="132"/>
      <c r="D3" s="132"/>
      <c r="E3" s="132"/>
      <c r="F3" s="132"/>
      <c r="G3" s="132"/>
      <c r="H3" s="132"/>
      <c r="I3" s="132"/>
      <c r="J3" s="133"/>
      <c r="K3" s="133"/>
    </row>
    <row r="4" spans="1:15" x14ac:dyDescent="0.25">
      <c r="A4" s="132"/>
      <c r="B4" s="132"/>
      <c r="C4" s="132"/>
      <c r="D4" s="132"/>
      <c r="E4" s="132"/>
      <c r="F4" s="132"/>
      <c r="G4" s="132"/>
      <c r="H4" s="132"/>
      <c r="I4" s="132"/>
      <c r="J4" s="133"/>
      <c r="K4" s="133"/>
    </row>
    <row r="5" spans="1:15" x14ac:dyDescent="0.25">
      <c r="A5" s="132"/>
      <c r="B5" s="132"/>
      <c r="C5" s="132"/>
      <c r="D5" s="132"/>
      <c r="E5" s="132"/>
      <c r="F5" s="132"/>
      <c r="G5" s="132"/>
      <c r="H5" s="132"/>
      <c r="I5" s="132"/>
      <c r="J5" s="133"/>
      <c r="K5" s="133"/>
    </row>
    <row r="6" spans="1:15" x14ac:dyDescent="0.25">
      <c r="A6" s="132"/>
      <c r="B6" s="132"/>
      <c r="C6" s="132"/>
      <c r="D6" s="132"/>
      <c r="E6" s="132"/>
      <c r="F6" s="132"/>
      <c r="G6" s="132"/>
      <c r="H6" s="132"/>
      <c r="I6" s="132"/>
      <c r="J6" s="133"/>
      <c r="K6" s="133"/>
    </row>
    <row r="7" spans="1:15" x14ac:dyDescent="0.25">
      <c r="A7" s="132"/>
      <c r="B7" s="132"/>
      <c r="C7" s="132"/>
      <c r="D7" s="132"/>
      <c r="E7" s="132"/>
      <c r="F7" s="132"/>
      <c r="G7" s="132"/>
      <c r="H7" s="132"/>
      <c r="I7" s="132"/>
      <c r="J7" s="133"/>
      <c r="K7" s="133"/>
    </row>
    <row r="8" spans="1:15" x14ac:dyDescent="0.25">
      <c r="A8" s="132"/>
      <c r="B8" s="132"/>
      <c r="C8" s="132"/>
      <c r="D8" s="132"/>
      <c r="E8" s="132"/>
      <c r="F8" s="132"/>
      <c r="G8" s="132"/>
      <c r="H8" s="132"/>
      <c r="I8" s="132"/>
      <c r="J8" s="133"/>
      <c r="K8" s="133"/>
    </row>
    <row r="9" spans="1:15" x14ac:dyDescent="0.25">
      <c r="A9" s="132"/>
      <c r="B9" s="132"/>
      <c r="C9" s="132"/>
      <c r="D9" s="132"/>
      <c r="E9" s="132"/>
      <c r="F9" s="132"/>
      <c r="G9" s="132"/>
      <c r="H9" s="132"/>
      <c r="I9" s="132"/>
      <c r="J9" s="133"/>
      <c r="K9" s="133"/>
    </row>
    <row r="10" spans="1:15" ht="15.75" x14ac:dyDescent="0.25">
      <c r="A10" s="187" t="s">
        <v>103</v>
      </c>
      <c r="B10" s="187"/>
      <c r="C10" s="187"/>
      <c r="D10" s="187"/>
      <c r="E10" s="187"/>
      <c r="F10" s="187"/>
      <c r="G10" s="187"/>
      <c r="H10" s="187"/>
      <c r="I10" s="187"/>
      <c r="J10" s="187"/>
      <c r="K10" s="187"/>
    </row>
    <row r="11" spans="1:15" ht="18.75" x14ac:dyDescent="0.25">
      <c r="A11" s="186" t="s">
        <v>171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O11" s="97"/>
    </row>
    <row r="12" spans="1:15" x14ac:dyDescent="0.25">
      <c r="A12" s="132"/>
      <c r="B12" s="132"/>
      <c r="C12" s="132"/>
      <c r="D12" s="132"/>
      <c r="E12" s="132"/>
      <c r="F12" s="132"/>
      <c r="G12" s="132"/>
      <c r="H12" s="132"/>
      <c r="I12" s="132"/>
      <c r="J12" s="133"/>
      <c r="K12" s="133"/>
      <c r="M12" t="s">
        <v>121</v>
      </c>
      <c r="N12" s="97">
        <v>45175</v>
      </c>
    </row>
    <row r="13" spans="1:15" x14ac:dyDescent="0.25">
      <c r="A13" s="188" t="s">
        <v>194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</row>
    <row r="14" spans="1:15" x14ac:dyDescent="0.25">
      <c r="A14" s="132"/>
      <c r="B14" s="132"/>
      <c r="C14" s="132"/>
      <c r="D14" s="132"/>
      <c r="E14" s="132"/>
      <c r="F14" s="132"/>
      <c r="G14" s="132"/>
      <c r="H14" s="132"/>
      <c r="I14" s="132"/>
      <c r="J14" s="133"/>
      <c r="K14" s="133"/>
    </row>
    <row r="15" spans="1:15" ht="15" customHeight="1" x14ac:dyDescent="0.25">
      <c r="A15" s="184" t="str">
        <f>"Pada hari ini, Tanggal "&amp;PROPER(Terbilang(DAY($N$12)))&amp;" Bulan "&amp;TEXT($N$12,"[$-421]MMMM")&amp;" Tahun "&amp;PROPER(Terbilang(YEAR($N$12)))&amp;" ("&amp;TEXT($N$12,"DD-MM-YYYY")&amp;")"&amp;". Kami yang bertanda tangan di bawah ini:"</f>
        <v>Pada hari ini, Tanggal Enam Bulan September Tahun Dua Ribu Dua Puluh Tiga (06-09-2023). Kami yang bertanda tangan di bawah ini:</v>
      </c>
      <c r="B15" s="184"/>
      <c r="C15" s="184"/>
      <c r="D15" s="184"/>
      <c r="E15" s="184"/>
      <c r="F15" s="184"/>
      <c r="G15" s="184"/>
      <c r="H15" s="184"/>
      <c r="I15" s="184"/>
      <c r="J15" s="184"/>
      <c r="K15" s="184"/>
    </row>
    <row r="16" spans="1:15" x14ac:dyDescent="0.25">
      <c r="A16" s="184"/>
      <c r="B16" s="184"/>
      <c r="C16" s="184"/>
      <c r="D16" s="184"/>
      <c r="E16" s="184"/>
      <c r="F16" s="184"/>
      <c r="G16" s="184"/>
      <c r="H16" s="184"/>
      <c r="I16" s="184"/>
      <c r="J16" s="184"/>
      <c r="K16" s="184"/>
    </row>
    <row r="17" spans="1:11" x14ac:dyDescent="0.25">
      <c r="A17" s="134" t="s">
        <v>104</v>
      </c>
      <c r="B17" s="132" t="s">
        <v>48</v>
      </c>
      <c r="C17" s="132" t="s">
        <v>75</v>
      </c>
      <c r="D17" s="185" t="s">
        <v>188</v>
      </c>
      <c r="E17" s="185"/>
      <c r="F17" s="185"/>
      <c r="G17" s="185"/>
      <c r="H17" s="185"/>
      <c r="I17" s="185"/>
      <c r="J17" s="185"/>
      <c r="K17" s="133"/>
    </row>
    <row r="18" spans="1:11" x14ac:dyDescent="0.25">
      <c r="A18" s="132"/>
      <c r="B18" s="132" t="s">
        <v>105</v>
      </c>
      <c r="C18" s="132" t="s">
        <v>75</v>
      </c>
      <c r="D18" s="185" t="s">
        <v>118</v>
      </c>
      <c r="E18" s="185"/>
      <c r="F18" s="185"/>
      <c r="G18" s="185"/>
      <c r="H18" s="185"/>
      <c r="I18" s="185"/>
      <c r="J18" s="185"/>
      <c r="K18" s="133"/>
    </row>
    <row r="19" spans="1:11" x14ac:dyDescent="0.25">
      <c r="A19" s="132"/>
      <c r="B19" s="132" t="s">
        <v>106</v>
      </c>
      <c r="C19" s="132" t="s">
        <v>75</v>
      </c>
      <c r="D19" s="184" t="s">
        <v>189</v>
      </c>
      <c r="E19" s="184"/>
      <c r="F19" s="184"/>
      <c r="G19" s="184"/>
      <c r="H19" s="184"/>
      <c r="I19" s="184"/>
      <c r="J19" s="184"/>
      <c r="K19" s="133"/>
    </row>
    <row r="20" spans="1:11" x14ac:dyDescent="0.25">
      <c r="A20" s="132"/>
      <c r="B20" s="132"/>
      <c r="C20" s="132"/>
      <c r="D20" s="184"/>
      <c r="E20" s="184"/>
      <c r="F20" s="184"/>
      <c r="G20" s="184"/>
      <c r="H20" s="184"/>
      <c r="I20" s="184"/>
      <c r="J20" s="184"/>
      <c r="K20" s="133"/>
    </row>
    <row r="21" spans="1:11" x14ac:dyDescent="0.25">
      <c r="A21" s="132"/>
      <c r="B21" s="132" t="s">
        <v>134</v>
      </c>
      <c r="C21" s="132"/>
      <c r="D21" s="132"/>
      <c r="E21" s="132"/>
      <c r="F21" s="132"/>
      <c r="G21" s="132"/>
      <c r="H21" s="132"/>
      <c r="I21" s="132"/>
      <c r="J21" s="133"/>
      <c r="K21" s="133"/>
    </row>
    <row r="22" spans="1:11" x14ac:dyDescent="0.25">
      <c r="A22" s="132"/>
      <c r="B22" s="132"/>
      <c r="C22" s="132"/>
      <c r="D22" s="132"/>
      <c r="E22" s="132"/>
      <c r="F22" s="132"/>
      <c r="G22" s="132"/>
      <c r="H22" s="132"/>
      <c r="I22" s="132"/>
      <c r="J22" s="133"/>
      <c r="K22" s="133"/>
    </row>
    <row r="23" spans="1:11" x14ac:dyDescent="0.25">
      <c r="A23" s="134" t="s">
        <v>107</v>
      </c>
      <c r="B23" s="132" t="s">
        <v>48</v>
      </c>
      <c r="C23" s="132" t="s">
        <v>75</v>
      </c>
      <c r="D23" s="185" t="s">
        <v>140</v>
      </c>
      <c r="E23" s="185"/>
      <c r="F23" s="185"/>
      <c r="G23" s="185"/>
      <c r="H23" s="185"/>
      <c r="I23" s="185"/>
      <c r="J23" s="185"/>
      <c r="K23" s="133"/>
    </row>
    <row r="24" spans="1:11" x14ac:dyDescent="0.25">
      <c r="A24" s="132"/>
      <c r="B24" s="132" t="s">
        <v>105</v>
      </c>
      <c r="C24" s="132" t="s">
        <v>75</v>
      </c>
      <c r="D24" s="185" t="s">
        <v>143</v>
      </c>
      <c r="E24" s="185"/>
      <c r="F24" s="185"/>
      <c r="G24" s="185"/>
      <c r="H24" s="185"/>
      <c r="I24" s="185"/>
      <c r="J24" s="185"/>
      <c r="K24" s="133"/>
    </row>
    <row r="25" spans="1:11" x14ac:dyDescent="0.25">
      <c r="A25" s="132"/>
      <c r="B25" s="132" t="s">
        <v>106</v>
      </c>
      <c r="C25" s="132" t="s">
        <v>75</v>
      </c>
      <c r="D25" s="185" t="s">
        <v>173</v>
      </c>
      <c r="E25" s="185"/>
      <c r="F25" s="185"/>
      <c r="G25" s="185"/>
      <c r="H25" s="185"/>
      <c r="I25" s="185"/>
      <c r="J25" s="185"/>
      <c r="K25" s="133"/>
    </row>
    <row r="26" spans="1:11" x14ac:dyDescent="0.25">
      <c r="A26" s="132"/>
      <c r="B26" s="132"/>
      <c r="C26" s="132"/>
      <c r="D26" s="185"/>
      <c r="E26" s="185"/>
      <c r="F26" s="185"/>
      <c r="G26" s="185"/>
      <c r="H26" s="185"/>
      <c r="I26" s="185"/>
      <c r="J26" s="185"/>
      <c r="K26" s="133"/>
    </row>
    <row r="27" spans="1:11" x14ac:dyDescent="0.25">
      <c r="A27" s="132"/>
      <c r="B27" s="132" t="s">
        <v>135</v>
      </c>
      <c r="C27" s="132"/>
      <c r="D27" s="132"/>
      <c r="E27" s="132"/>
      <c r="F27" s="132"/>
      <c r="G27" s="132"/>
      <c r="H27" s="132"/>
      <c r="I27" s="132"/>
      <c r="J27" s="133"/>
      <c r="K27" s="133"/>
    </row>
    <row r="28" spans="1:11" x14ac:dyDescent="0.25">
      <c r="A28" s="132"/>
      <c r="B28" s="132"/>
      <c r="C28" s="132"/>
      <c r="D28" s="132"/>
      <c r="E28" s="132"/>
      <c r="F28" s="132"/>
      <c r="G28" s="132"/>
      <c r="H28" s="132"/>
      <c r="I28" s="132"/>
      <c r="J28" s="133"/>
      <c r="K28" s="133"/>
    </row>
    <row r="29" spans="1:11" ht="15" customHeight="1" x14ac:dyDescent="0.25">
      <c r="A29" s="184" t="s">
        <v>136</v>
      </c>
      <c r="B29" s="184"/>
      <c r="C29" s="184"/>
      <c r="D29" s="184"/>
      <c r="E29" s="184"/>
      <c r="F29" s="184"/>
      <c r="G29" s="184"/>
      <c r="H29" s="184"/>
      <c r="I29" s="184"/>
      <c r="J29" s="184"/>
      <c r="K29" s="184"/>
    </row>
    <row r="30" spans="1:11" x14ac:dyDescent="0.25">
      <c r="A30" s="184"/>
      <c r="B30" s="184"/>
      <c r="C30" s="184"/>
      <c r="D30" s="184"/>
      <c r="E30" s="184"/>
      <c r="F30" s="184"/>
      <c r="G30" s="184"/>
      <c r="H30" s="184"/>
      <c r="I30" s="184"/>
      <c r="J30" s="184"/>
      <c r="K30" s="184"/>
    </row>
    <row r="31" spans="1:11" x14ac:dyDescent="0.25">
      <c r="A31" s="132" t="s">
        <v>108</v>
      </c>
      <c r="B31" s="135"/>
      <c r="C31" s="132" t="s">
        <v>75</v>
      </c>
      <c r="D31" s="184" t="s">
        <v>11</v>
      </c>
      <c r="E31" s="184"/>
      <c r="F31" s="184"/>
      <c r="G31" s="184"/>
      <c r="H31" s="184"/>
      <c r="I31" s="184"/>
      <c r="J31" s="184"/>
      <c r="K31" s="184"/>
    </row>
    <row r="32" spans="1:11" x14ac:dyDescent="0.25">
      <c r="A32" s="185" t="s">
        <v>109</v>
      </c>
      <c r="B32" s="185"/>
      <c r="C32" s="185"/>
      <c r="D32" s="185"/>
      <c r="E32" s="185"/>
      <c r="F32" s="185"/>
      <c r="G32" s="185"/>
      <c r="H32" s="185"/>
      <c r="I32" s="185"/>
      <c r="J32" s="185"/>
      <c r="K32" s="185"/>
    </row>
    <row r="33" spans="1:11" x14ac:dyDescent="0.25">
      <c r="A33" s="132" t="s">
        <v>110</v>
      </c>
      <c r="B33" s="135"/>
      <c r="C33" s="132" t="s">
        <v>75</v>
      </c>
      <c r="D33" s="184" t="s">
        <v>170</v>
      </c>
      <c r="E33" s="184"/>
      <c r="F33" s="184"/>
      <c r="G33" s="184"/>
      <c r="H33" s="184"/>
      <c r="I33" s="184"/>
      <c r="J33" s="184"/>
      <c r="K33" s="184"/>
    </row>
    <row r="34" spans="1:11" x14ac:dyDescent="0.25">
      <c r="A34" s="132"/>
      <c r="B34" s="132"/>
      <c r="C34" s="132"/>
      <c r="D34" s="132"/>
      <c r="E34" s="132"/>
      <c r="F34" s="132"/>
      <c r="G34" s="132"/>
      <c r="H34" s="132"/>
      <c r="I34" s="132"/>
      <c r="J34" s="133"/>
      <c r="K34" s="133"/>
    </row>
    <row r="35" spans="1:11" ht="15" customHeight="1" x14ac:dyDescent="0.25">
      <c r="A35" s="184" t="s">
        <v>111</v>
      </c>
      <c r="B35" s="184"/>
      <c r="C35" s="184"/>
      <c r="D35" s="184"/>
      <c r="E35" s="184"/>
      <c r="F35" s="184"/>
      <c r="G35" s="184"/>
      <c r="H35" s="184"/>
      <c r="I35" s="184"/>
      <c r="J35" s="184"/>
      <c r="K35" s="184"/>
    </row>
    <row r="36" spans="1:11" x14ac:dyDescent="0.25">
      <c r="A36" s="184"/>
      <c r="B36" s="184"/>
      <c r="C36" s="184"/>
      <c r="D36" s="184"/>
      <c r="E36" s="184"/>
      <c r="F36" s="184"/>
      <c r="G36" s="184"/>
      <c r="H36" s="184"/>
      <c r="I36" s="184"/>
      <c r="J36" s="184"/>
      <c r="K36" s="184"/>
    </row>
    <row r="37" spans="1:11" x14ac:dyDescent="0.25">
      <c r="A37" s="132"/>
      <c r="B37" s="132"/>
      <c r="C37" s="132"/>
      <c r="D37" s="132"/>
      <c r="E37" s="132"/>
      <c r="F37" s="132"/>
      <c r="G37" s="132"/>
      <c r="H37" s="132"/>
      <c r="I37" s="132"/>
      <c r="J37" s="133"/>
      <c r="K37" s="133"/>
    </row>
    <row r="38" spans="1:11" x14ac:dyDescent="0.25">
      <c r="A38" s="132"/>
      <c r="B38" s="132"/>
      <c r="C38" s="132"/>
      <c r="D38" s="132"/>
      <c r="E38" s="132"/>
      <c r="F38" s="132"/>
      <c r="G38" s="132"/>
      <c r="H38" s="132"/>
      <c r="I38" s="132"/>
      <c r="J38" s="133"/>
      <c r="K38" s="133"/>
    </row>
    <row r="39" spans="1:11" x14ac:dyDescent="0.25">
      <c r="A39" s="133"/>
      <c r="B39" s="183" t="s">
        <v>112</v>
      </c>
      <c r="C39" s="183"/>
      <c r="D39" s="183"/>
      <c r="E39" s="183"/>
      <c r="F39" s="132"/>
      <c r="G39" s="133"/>
      <c r="H39" s="183" t="s">
        <v>114</v>
      </c>
      <c r="I39" s="183"/>
      <c r="J39" s="183"/>
      <c r="K39" s="133"/>
    </row>
    <row r="40" spans="1:11" x14ac:dyDescent="0.25">
      <c r="A40" s="133"/>
      <c r="B40" s="182" t="s">
        <v>113</v>
      </c>
      <c r="C40" s="182"/>
      <c r="D40" s="182"/>
      <c r="E40" s="182"/>
      <c r="F40" s="132"/>
      <c r="G40" s="133"/>
      <c r="H40" s="182" t="s">
        <v>115</v>
      </c>
      <c r="I40" s="182"/>
      <c r="J40" s="182"/>
      <c r="K40" s="133"/>
    </row>
    <row r="41" spans="1:11" x14ac:dyDescent="0.25">
      <c r="A41" s="133"/>
      <c r="B41" s="132"/>
      <c r="C41" s="132"/>
      <c r="D41" s="132"/>
      <c r="E41" s="132"/>
      <c r="F41" s="132"/>
      <c r="G41" s="133"/>
      <c r="H41" s="132"/>
      <c r="I41" s="132"/>
      <c r="J41" s="133"/>
      <c r="K41" s="133"/>
    </row>
    <row r="42" spans="1:11" x14ac:dyDescent="0.25">
      <c r="A42" s="133"/>
      <c r="B42" s="132"/>
      <c r="C42" s="132"/>
      <c r="D42" s="132"/>
      <c r="E42" s="132"/>
      <c r="F42" s="132"/>
      <c r="G42" s="133"/>
      <c r="H42" s="132"/>
      <c r="I42" s="132"/>
      <c r="J42" s="133"/>
      <c r="K42" s="133"/>
    </row>
    <row r="43" spans="1:11" x14ac:dyDescent="0.25">
      <c r="A43" s="133"/>
      <c r="B43" s="132"/>
      <c r="C43" s="132"/>
      <c r="D43" s="132"/>
      <c r="E43" s="132"/>
      <c r="F43" s="132"/>
      <c r="G43" s="133"/>
      <c r="H43" s="132"/>
      <c r="I43" s="132"/>
      <c r="J43" s="133"/>
      <c r="K43" s="133"/>
    </row>
    <row r="44" spans="1:11" x14ac:dyDescent="0.25">
      <c r="A44" s="133"/>
      <c r="B44" s="132"/>
      <c r="C44" s="132"/>
      <c r="D44" s="132"/>
      <c r="E44" s="132"/>
      <c r="F44" s="132"/>
      <c r="G44" s="133"/>
      <c r="H44" s="132"/>
      <c r="I44" s="132"/>
      <c r="J44" s="133"/>
      <c r="K44" s="133"/>
    </row>
    <row r="45" spans="1:11" x14ac:dyDescent="0.25">
      <c r="A45" s="133"/>
      <c r="B45" s="132"/>
      <c r="C45" s="132"/>
      <c r="D45" s="132"/>
      <c r="E45" s="132"/>
      <c r="F45" s="132"/>
      <c r="G45" s="133"/>
      <c r="H45" s="132"/>
      <c r="I45" s="132"/>
      <c r="J45" s="133"/>
      <c r="K45" s="133"/>
    </row>
    <row r="46" spans="1:11" x14ac:dyDescent="0.25">
      <c r="A46" s="133"/>
      <c r="B46" s="183" t="str">
        <f>$D$17</f>
        <v>Blue</v>
      </c>
      <c r="C46" s="183"/>
      <c r="D46" s="183"/>
      <c r="E46" s="183"/>
      <c r="F46" s="132"/>
      <c r="G46" s="133"/>
      <c r="H46" s="183" t="str">
        <f>$D$23</f>
        <v>Taufiq Hidayat</v>
      </c>
      <c r="I46" s="183"/>
      <c r="J46" s="183"/>
      <c r="K46" s="133"/>
    </row>
    <row r="47" spans="1:11" x14ac:dyDescent="0.25">
      <c r="A47" s="96"/>
      <c r="B47" s="96"/>
      <c r="C47" s="96"/>
      <c r="D47" s="96"/>
      <c r="E47" s="96"/>
      <c r="F47" s="96"/>
      <c r="G47" s="96"/>
      <c r="H47" s="96"/>
      <c r="I47" s="96"/>
    </row>
    <row r="48" spans="1:11" x14ac:dyDescent="0.25">
      <c r="A48" s="96"/>
      <c r="B48" s="96"/>
      <c r="C48" s="96"/>
      <c r="D48" s="96"/>
      <c r="E48" s="96"/>
      <c r="F48" s="96"/>
      <c r="G48" s="96"/>
      <c r="H48" s="96"/>
      <c r="I48" s="96"/>
    </row>
    <row r="49" spans="1:9" x14ac:dyDescent="0.25">
      <c r="A49" s="96"/>
      <c r="B49" s="96"/>
      <c r="C49" s="96"/>
      <c r="D49" s="96"/>
      <c r="E49" s="96"/>
      <c r="F49" s="96"/>
      <c r="G49" s="96"/>
      <c r="H49" s="96"/>
      <c r="I49" s="96"/>
    </row>
    <row r="50" spans="1:9" x14ac:dyDescent="0.25">
      <c r="A50" s="96"/>
      <c r="B50" s="96"/>
      <c r="C50" s="96"/>
      <c r="D50" s="96"/>
      <c r="E50" s="96"/>
      <c r="F50" s="96"/>
      <c r="G50" s="96"/>
      <c r="H50" s="96"/>
      <c r="I50" s="96"/>
    </row>
  </sheetData>
  <mergeCells count="21">
    <mergeCell ref="A11:K11"/>
    <mergeCell ref="A10:K10"/>
    <mergeCell ref="A13:K13"/>
    <mergeCell ref="A15:K16"/>
    <mergeCell ref="D17:J17"/>
    <mergeCell ref="D18:J18"/>
    <mergeCell ref="D19:J20"/>
    <mergeCell ref="D23:J23"/>
    <mergeCell ref="D24:J24"/>
    <mergeCell ref="D25:J26"/>
    <mergeCell ref="A29:K30"/>
    <mergeCell ref="D31:K31"/>
    <mergeCell ref="D33:K33"/>
    <mergeCell ref="A35:K36"/>
    <mergeCell ref="B39:E39"/>
    <mergeCell ref="A32:K32"/>
    <mergeCell ref="B40:E40"/>
    <mergeCell ref="B46:E46"/>
    <mergeCell ref="H39:J39"/>
    <mergeCell ref="H40:J40"/>
    <mergeCell ref="H46:J4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Manajemen Aset</vt:lpstr>
      <vt:lpstr>Database</vt:lpstr>
      <vt:lpstr>Karyawan</vt:lpstr>
      <vt:lpstr>BA</vt:lpstr>
      <vt:lpstr>AsetData</vt:lpstr>
      <vt:lpstr>Database!Criteria</vt:lpstr>
      <vt:lpstr>Extract</vt:lpstr>
      <vt:lpstr>BA!Print_Area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Taufiq Hidayat</dc:creator>
  <cp:lastModifiedBy>Taufiq Hidayat</cp:lastModifiedBy>
  <cp:lastPrinted>2022-12-29T17:16:26Z</cp:lastPrinted>
  <dcterms:created xsi:type="dcterms:W3CDTF">2022-12-09T01:41:17Z</dcterms:created>
  <dcterms:modified xsi:type="dcterms:W3CDTF">2023-09-06T10:05:42Z</dcterms:modified>
</cp:coreProperties>
</file>